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avel.rostov\PycharmProjects\scrapyBotTrade\history\45_55\"/>
    </mc:Choice>
  </mc:AlternateContent>
  <xr:revisionPtr revIDLastSave="0" documentId="13_ncr:1_{B406C58A-DCA8-4705-AD69-58CA5FF03158}" xr6:coauthVersionLast="46" xr6:coauthVersionMax="46" xr10:uidLastSave="{00000000-0000-0000-0000-000000000000}"/>
  <bookViews>
    <workbookView xWindow="1560" yWindow="525" windowWidth="27000" windowHeight="15075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Sheet1!$A$8:$CP$61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O10" i="1" l="1"/>
  <c r="CP10" i="1"/>
  <c r="CR10" i="1" s="1"/>
  <c r="CO11" i="1"/>
  <c r="CP11" i="1"/>
  <c r="CO12" i="1"/>
  <c r="CP12" i="1"/>
  <c r="CR12" i="1" s="1"/>
  <c r="CO13" i="1"/>
  <c r="CP13" i="1"/>
  <c r="CR13" i="1" s="1"/>
  <c r="CO14" i="1"/>
  <c r="CP14" i="1"/>
  <c r="CR14" i="1" s="1"/>
  <c r="CO15" i="1"/>
  <c r="CP15" i="1"/>
  <c r="CO16" i="1"/>
  <c r="CP16" i="1"/>
  <c r="CR16" i="1" s="1"/>
  <c r="CO17" i="1"/>
  <c r="CP17" i="1"/>
  <c r="CR17" i="1" s="1"/>
  <c r="CO18" i="1"/>
  <c r="CP18" i="1"/>
  <c r="CR18" i="1" s="1"/>
  <c r="CO19" i="1"/>
  <c r="CP19" i="1"/>
  <c r="CO20" i="1"/>
  <c r="CP20" i="1"/>
  <c r="CR20" i="1" s="1"/>
  <c r="CO21" i="1"/>
  <c r="CP21" i="1"/>
  <c r="CR21" i="1" s="1"/>
  <c r="CO22" i="1"/>
  <c r="CP22" i="1"/>
  <c r="CR22" i="1" s="1"/>
  <c r="CO23" i="1"/>
  <c r="CP23" i="1"/>
  <c r="CO24" i="1"/>
  <c r="CP24" i="1"/>
  <c r="CR24" i="1" s="1"/>
  <c r="CO25" i="1"/>
  <c r="CP25" i="1"/>
  <c r="CR25" i="1" s="1"/>
  <c r="CO26" i="1"/>
  <c r="CP26" i="1"/>
  <c r="CR26" i="1" s="1"/>
  <c r="CO27" i="1"/>
  <c r="CP27" i="1"/>
  <c r="CO28" i="1"/>
  <c r="CP28" i="1"/>
  <c r="CR28" i="1" s="1"/>
  <c r="CO29" i="1"/>
  <c r="CP29" i="1"/>
  <c r="CR29" i="1" s="1"/>
  <c r="CO30" i="1"/>
  <c r="CP30" i="1"/>
  <c r="CR30" i="1" s="1"/>
  <c r="CO31" i="1"/>
  <c r="CP31" i="1"/>
  <c r="CO32" i="1"/>
  <c r="CP32" i="1"/>
  <c r="CR32" i="1" s="1"/>
  <c r="CO33" i="1"/>
  <c r="CP33" i="1"/>
  <c r="CR33" i="1" s="1"/>
  <c r="CO34" i="1"/>
  <c r="CP34" i="1"/>
  <c r="CR34" i="1" s="1"/>
  <c r="CO35" i="1"/>
  <c r="CP35" i="1"/>
  <c r="CO36" i="1"/>
  <c r="CP36" i="1"/>
  <c r="CR36" i="1" s="1"/>
  <c r="CO37" i="1"/>
  <c r="CP37" i="1"/>
  <c r="CR37" i="1" s="1"/>
  <c r="CO38" i="1"/>
  <c r="CP38" i="1"/>
  <c r="CR38" i="1" s="1"/>
  <c r="CO39" i="1"/>
  <c r="CP39" i="1"/>
  <c r="CO40" i="1"/>
  <c r="CP40" i="1"/>
  <c r="CR40" i="1" s="1"/>
  <c r="CO41" i="1"/>
  <c r="CP41" i="1"/>
  <c r="CR41" i="1" s="1"/>
  <c r="CO42" i="1"/>
  <c r="CP42" i="1"/>
  <c r="CR42" i="1" s="1"/>
  <c r="CO43" i="1"/>
  <c r="CP43" i="1"/>
  <c r="CO44" i="1"/>
  <c r="CP44" i="1"/>
  <c r="CR44" i="1" s="1"/>
  <c r="CO45" i="1"/>
  <c r="CP45" i="1"/>
  <c r="CR45" i="1" s="1"/>
  <c r="CO46" i="1"/>
  <c r="CP46" i="1"/>
  <c r="CO47" i="1"/>
  <c r="CP47" i="1"/>
  <c r="CO48" i="1"/>
  <c r="CP48" i="1"/>
  <c r="CR48" i="1" s="1"/>
  <c r="CO49" i="1"/>
  <c r="CP49" i="1"/>
  <c r="CR49" i="1" s="1"/>
  <c r="CO50" i="1"/>
  <c r="CP50" i="1"/>
  <c r="CR50" i="1" s="1"/>
  <c r="CO51" i="1"/>
  <c r="CP51" i="1"/>
  <c r="CO52" i="1"/>
  <c r="CP52" i="1"/>
  <c r="CR52" i="1" s="1"/>
  <c r="CO53" i="1"/>
  <c r="CP53" i="1"/>
  <c r="CR53" i="1" s="1"/>
  <c r="CO54" i="1"/>
  <c r="CP54" i="1"/>
  <c r="CR54" i="1" s="1"/>
  <c r="CO55" i="1"/>
  <c r="CP55" i="1"/>
  <c r="CR55" i="1" s="1"/>
  <c r="CO56" i="1"/>
  <c r="CP56" i="1"/>
  <c r="CR56" i="1" s="1"/>
  <c r="CO57" i="1"/>
  <c r="CP57" i="1"/>
  <c r="CR57" i="1" s="1"/>
  <c r="CO58" i="1"/>
  <c r="CP58" i="1"/>
  <c r="CR58" i="1" s="1"/>
  <c r="CO59" i="1"/>
  <c r="CP59" i="1"/>
  <c r="CO60" i="1"/>
  <c r="CP60" i="1"/>
  <c r="CR60" i="1" s="1"/>
  <c r="CO61" i="1"/>
  <c r="CP61" i="1"/>
  <c r="CR61" i="1" s="1"/>
  <c r="CP9" i="1"/>
  <c r="CO9" i="1"/>
  <c r="CR252" i="1"/>
  <c r="CR251" i="1"/>
  <c r="CR250" i="1"/>
  <c r="CR249" i="1"/>
  <c r="CR248" i="1"/>
  <c r="CR247" i="1"/>
  <c r="CR246" i="1"/>
  <c r="CR245" i="1"/>
  <c r="CR244" i="1"/>
  <c r="CR243" i="1"/>
  <c r="CR242" i="1"/>
  <c r="CR241" i="1"/>
  <c r="CR240" i="1"/>
  <c r="CR239" i="1"/>
  <c r="CR238" i="1"/>
  <c r="CR237" i="1"/>
  <c r="CR236" i="1"/>
  <c r="CR235" i="1"/>
  <c r="CR234" i="1"/>
  <c r="CR233" i="1"/>
  <c r="CR232" i="1"/>
  <c r="CR231" i="1"/>
  <c r="CR230" i="1"/>
  <c r="CR229" i="1"/>
  <c r="CR228" i="1"/>
  <c r="CR227" i="1"/>
  <c r="CR226" i="1"/>
  <c r="CR225" i="1"/>
  <c r="CR224" i="1"/>
  <c r="CR223" i="1"/>
  <c r="CR222" i="1"/>
  <c r="CR221" i="1"/>
  <c r="CR220" i="1"/>
  <c r="CR219" i="1"/>
  <c r="CR218" i="1"/>
  <c r="CR217" i="1"/>
  <c r="CR216" i="1"/>
  <c r="CR215" i="1"/>
  <c r="CR214" i="1"/>
  <c r="CR213" i="1"/>
  <c r="CR212" i="1"/>
  <c r="CR211" i="1"/>
  <c r="CR210" i="1"/>
  <c r="CR209" i="1"/>
  <c r="CR208" i="1"/>
  <c r="CR207" i="1"/>
  <c r="CR206" i="1"/>
  <c r="CR205" i="1"/>
  <c r="CR204" i="1"/>
  <c r="CR203" i="1"/>
  <c r="CR202" i="1"/>
  <c r="CR201" i="1"/>
  <c r="CR200" i="1"/>
  <c r="CR199" i="1"/>
  <c r="CR198" i="1"/>
  <c r="CR197" i="1"/>
  <c r="CR196" i="1"/>
  <c r="CR195" i="1"/>
  <c r="CR194" i="1"/>
  <c r="CR193" i="1"/>
  <c r="CR192" i="1"/>
  <c r="CR191" i="1"/>
  <c r="CR190" i="1"/>
  <c r="CR189" i="1"/>
  <c r="CR188" i="1"/>
  <c r="CR187" i="1"/>
  <c r="CR186" i="1"/>
  <c r="CR185" i="1"/>
  <c r="CR184" i="1"/>
  <c r="CR183" i="1"/>
  <c r="CR182" i="1"/>
  <c r="CR181" i="1"/>
  <c r="CR180" i="1"/>
  <c r="CR179" i="1"/>
  <c r="CR178" i="1"/>
  <c r="CR177" i="1"/>
  <c r="CR176" i="1"/>
  <c r="CR175" i="1"/>
  <c r="CR174" i="1"/>
  <c r="CR173" i="1"/>
  <c r="CR172" i="1"/>
  <c r="CR171" i="1"/>
  <c r="CR170" i="1"/>
  <c r="CR169" i="1"/>
  <c r="CR168" i="1"/>
  <c r="CR167" i="1"/>
  <c r="CR166" i="1"/>
  <c r="CR165" i="1"/>
  <c r="CR164" i="1"/>
  <c r="CR163" i="1"/>
  <c r="CR162" i="1"/>
  <c r="CR161" i="1"/>
  <c r="CR160" i="1"/>
  <c r="CR159" i="1"/>
  <c r="CR158" i="1"/>
  <c r="CR157" i="1"/>
  <c r="CR156" i="1"/>
  <c r="CR155" i="1"/>
  <c r="CR154" i="1"/>
  <c r="CR153" i="1"/>
  <c r="CR152" i="1"/>
  <c r="CR151" i="1"/>
  <c r="CR150" i="1"/>
  <c r="CR149" i="1"/>
  <c r="CR148" i="1"/>
  <c r="CR147" i="1"/>
  <c r="CR146" i="1"/>
  <c r="CR145" i="1"/>
  <c r="CR144" i="1"/>
  <c r="CR143" i="1"/>
  <c r="CR142" i="1"/>
  <c r="CR141" i="1"/>
  <c r="CR140" i="1"/>
  <c r="CR139" i="1"/>
  <c r="CR138" i="1"/>
  <c r="CR137" i="1"/>
  <c r="CR136" i="1"/>
  <c r="CR135" i="1"/>
  <c r="CR134" i="1"/>
  <c r="CR133" i="1"/>
  <c r="CR132" i="1"/>
  <c r="CR131" i="1"/>
  <c r="CR130" i="1"/>
  <c r="CR129" i="1"/>
  <c r="CR128" i="1"/>
  <c r="CR127" i="1"/>
  <c r="CR126" i="1"/>
  <c r="CR125" i="1"/>
  <c r="CR124" i="1"/>
  <c r="CR123" i="1"/>
  <c r="CR122" i="1"/>
  <c r="CR121" i="1"/>
  <c r="CR120" i="1"/>
  <c r="CR119" i="1"/>
  <c r="CR118" i="1"/>
  <c r="CR117" i="1"/>
  <c r="CR116" i="1"/>
  <c r="CR115" i="1"/>
  <c r="CR114" i="1"/>
  <c r="CR113" i="1"/>
  <c r="CR112" i="1"/>
  <c r="CR111" i="1"/>
  <c r="CR110" i="1"/>
  <c r="CR109" i="1"/>
  <c r="CR108" i="1"/>
  <c r="CR107" i="1"/>
  <c r="CR106" i="1"/>
  <c r="CR105" i="1"/>
  <c r="CR104" i="1"/>
  <c r="CR103" i="1"/>
  <c r="CR102" i="1"/>
  <c r="CR101" i="1"/>
  <c r="CR100" i="1"/>
  <c r="CR99" i="1"/>
  <c r="CR98" i="1"/>
  <c r="CR97" i="1"/>
  <c r="CR96" i="1"/>
  <c r="CR95" i="1"/>
  <c r="CR94" i="1"/>
  <c r="CR93" i="1"/>
  <c r="CR92" i="1"/>
  <c r="CR91" i="1"/>
  <c r="CR90" i="1"/>
  <c r="CR89" i="1"/>
  <c r="CR88" i="1"/>
  <c r="CR87" i="1"/>
  <c r="CR86" i="1"/>
  <c r="CR85" i="1"/>
  <c r="CR84" i="1"/>
  <c r="CR83" i="1"/>
  <c r="CR82" i="1"/>
  <c r="CR81" i="1"/>
  <c r="CR80" i="1"/>
  <c r="CR79" i="1"/>
  <c r="CR78" i="1"/>
  <c r="CR77" i="1"/>
  <c r="CR76" i="1"/>
  <c r="CR75" i="1"/>
  <c r="CR74" i="1"/>
  <c r="CR73" i="1"/>
  <c r="CR72" i="1"/>
  <c r="CR71" i="1"/>
  <c r="CR70" i="1"/>
  <c r="CR69" i="1"/>
  <c r="CR68" i="1"/>
  <c r="CR67" i="1"/>
  <c r="CR66" i="1"/>
  <c r="CR65" i="1"/>
  <c r="CR64" i="1"/>
  <c r="CR63" i="1"/>
  <c r="CR62" i="1"/>
  <c r="CR59" i="1"/>
  <c r="CR51" i="1"/>
  <c r="CR47" i="1"/>
  <c r="CR46" i="1"/>
  <c r="CR43" i="1"/>
  <c r="CR39" i="1"/>
  <c r="CR35" i="1"/>
  <c r="CR31" i="1"/>
  <c r="CR27" i="1"/>
  <c r="CR23" i="1"/>
  <c r="CR19" i="1"/>
  <c r="CR15" i="1"/>
  <c r="CR11" i="1"/>
  <c r="CR9" i="1"/>
  <c r="L2" i="1"/>
  <c r="E2" i="1"/>
  <c r="I6" i="1" s="1"/>
  <c r="I2" i="1" l="1"/>
  <c r="I1" i="1"/>
  <c r="I3" i="1"/>
  <c r="I4" i="1"/>
  <c r="I5" i="1"/>
  <c r="L3" i="1"/>
  <c r="L4" i="1" s="1"/>
</calcChain>
</file>

<file path=xl/sharedStrings.xml><?xml version="1.0" encoding="utf-8"?>
<sst xmlns="http://schemas.openxmlformats.org/spreadsheetml/2006/main" count="632" uniqueCount="337">
  <si>
    <t>TICKER</t>
  </si>
  <si>
    <t>Tech_buy</t>
  </si>
  <si>
    <t>Tech_sell</t>
  </si>
  <si>
    <t>SMA_buy</t>
  </si>
  <si>
    <t>SMA_sell</t>
  </si>
  <si>
    <t>SMA_20</t>
  </si>
  <si>
    <t>SMA_100</t>
  </si>
  <si>
    <t>EMA_buy</t>
  </si>
  <si>
    <t>EMA_sell</t>
  </si>
  <si>
    <t>EMA_20</t>
  </si>
  <si>
    <t>EMA_100</t>
  </si>
  <si>
    <t>CLOSE_prev</t>
  </si>
  <si>
    <t>Percentage_1</t>
  </si>
  <si>
    <t>p1_Op_0,5_up</t>
  </si>
  <si>
    <t>p1_0,5_1.0_up</t>
  </si>
  <si>
    <t>p1_1,0_1,5_up</t>
  </si>
  <si>
    <t>p1_1,5_2,0_up</t>
  </si>
  <si>
    <t>p1_2,0_over_up</t>
  </si>
  <si>
    <t>p1_c_h_l_o_1</t>
  </si>
  <si>
    <t>p1_c_mt_h_l_o_1</t>
  </si>
  <si>
    <t>p1_c_h_l_o_2</t>
  </si>
  <si>
    <t>p1_c_mt_h_l_o_2</t>
  </si>
  <si>
    <t>p1_Op_0,2_dwn</t>
  </si>
  <si>
    <t>p1_0,2_0,3_dwn</t>
  </si>
  <si>
    <t>p1_0,3_0,4_dwn</t>
  </si>
  <si>
    <t>p1_0,4_0,5_dwn</t>
  </si>
  <si>
    <t>p1_0,5_less_dwn</t>
  </si>
  <si>
    <t>p1_c_l_h_o_1</t>
  </si>
  <si>
    <t>p1_c_mt_l_h_o_1</t>
  </si>
  <si>
    <t>p1_c_l_h_o_2</t>
  </si>
  <si>
    <t>p1_c_mt_l_h_o_2</t>
  </si>
  <si>
    <t>Percentage_2</t>
  </si>
  <si>
    <t>p2_Op_0,5_up</t>
  </si>
  <si>
    <t>p2_0,5_1.0_up</t>
  </si>
  <si>
    <t>p2_1,0_1,5_up</t>
  </si>
  <si>
    <t>p2_1,5_2,0_up</t>
  </si>
  <si>
    <t>p2_2,0_over_up</t>
  </si>
  <si>
    <t>p2_c_h_l_o_1</t>
  </si>
  <si>
    <t>p2_c_mt_h_l_o_1</t>
  </si>
  <si>
    <t>p2_c_h_l_o_2</t>
  </si>
  <si>
    <t>p2_c_mt_h_l_o_2</t>
  </si>
  <si>
    <t>p2_Op_0,2_dwn</t>
  </si>
  <si>
    <t>p2_0,2_0,3_dwn</t>
  </si>
  <si>
    <t>p2_0,3_0,4_dwn</t>
  </si>
  <si>
    <t>p2_0,4_0,5_dwn</t>
  </si>
  <si>
    <t>p2_0,5_less_dwn</t>
  </si>
  <si>
    <t>p2_c_l_h_o_1</t>
  </si>
  <si>
    <t>p2_c_mt_l_h_o_1</t>
  </si>
  <si>
    <t>p2_c_l_h_o_2</t>
  </si>
  <si>
    <t>p2_c_mt_l_h_o_2</t>
  </si>
  <si>
    <t>Percentage_3</t>
  </si>
  <si>
    <t>p3_Op_0,5_up</t>
  </si>
  <si>
    <t>p3_0,5_1.0_up</t>
  </si>
  <si>
    <t>p3_1,0_1,5_up</t>
  </si>
  <si>
    <t>p3_1,5_2,0_up</t>
  </si>
  <si>
    <t>p3_2,0_over_up</t>
  </si>
  <si>
    <t>p3_c_h_l_o_1</t>
  </si>
  <si>
    <t>p3_c_mt_h_l_o_1</t>
  </si>
  <si>
    <t>p3_c_h_l_o_2</t>
  </si>
  <si>
    <t>p3_c_mt_h_l_o_2</t>
  </si>
  <si>
    <t>p3_Op_0,2_dwn</t>
  </si>
  <si>
    <t>p3_0,2_0,3_dwn</t>
  </si>
  <si>
    <t>p3_0,3_0,4_dwn</t>
  </si>
  <si>
    <t>p3_0,4_0,5_dwn</t>
  </si>
  <si>
    <t>p3_0,5_less_dwn</t>
  </si>
  <si>
    <t>p3_c_l_h_o_1</t>
  </si>
  <si>
    <t>p3_c_mt_l_h_o_1</t>
  </si>
  <si>
    <t>p3_c_l_h_o_2</t>
  </si>
  <si>
    <t>p3_c_mt_l_h_o_2</t>
  </si>
  <si>
    <t>Percentage_4</t>
  </si>
  <si>
    <t>p4_Op_0,5_up</t>
  </si>
  <si>
    <t>p4_0,5_1.0_up</t>
  </si>
  <si>
    <t>p4_1,0_1,5_up</t>
  </si>
  <si>
    <t>p4_1,5_2,0_up</t>
  </si>
  <si>
    <t>p4_2,0_over_up</t>
  </si>
  <si>
    <t>p4_c_h_l_o_1</t>
  </si>
  <si>
    <t>p4_c_mt_h_l_o_1</t>
  </si>
  <si>
    <t>p4_c_h_l_o_2</t>
  </si>
  <si>
    <t>p4_c_mt_h_l_o_2</t>
  </si>
  <si>
    <t>p4_Op_0,2_dwn</t>
  </si>
  <si>
    <t>p4_0,2_0,3_dwn</t>
  </si>
  <si>
    <t>p4_0,3_0,4_dwn</t>
  </si>
  <si>
    <t>p4_0,4_0,5_dwn</t>
  </si>
  <si>
    <t>p4_0,5_less_dwn</t>
  </si>
  <si>
    <t>p4_c_l_h_o_1</t>
  </si>
  <si>
    <t>p4_c_mt_l_h_o_1</t>
  </si>
  <si>
    <t>p4_c_l_h_o_2</t>
  </si>
  <si>
    <t>p4_c_mt_l_h_o_2</t>
  </si>
  <si>
    <t>Open_point</t>
  </si>
  <si>
    <t>High_point</t>
  </si>
  <si>
    <t>Exchange</t>
  </si>
  <si>
    <t>GM</t>
  </si>
  <si>
    <t>buy</t>
  </si>
  <si>
    <t>+5.2%</t>
  </si>
  <si>
    <t>-2.23%</t>
  </si>
  <si>
    <t>-1.42%</t>
  </si>
  <si>
    <t>+5.13%</t>
  </si>
  <si>
    <t>NYSE</t>
  </si>
  <si>
    <t>STLD</t>
  </si>
  <si>
    <t>+0.99%</t>
  </si>
  <si>
    <t>-1.3%</t>
  </si>
  <si>
    <t>-3.54%</t>
  </si>
  <si>
    <t>+2.43%</t>
  </si>
  <si>
    <t>NASDAQ</t>
  </si>
  <si>
    <t>CIEN</t>
  </si>
  <si>
    <t>+2.03%</t>
  </si>
  <si>
    <t>+3.74%</t>
  </si>
  <si>
    <t>+1.54%</t>
  </si>
  <si>
    <t>-0.56%</t>
  </si>
  <si>
    <t>VNO</t>
  </si>
  <si>
    <t>+2.04%</t>
  </si>
  <si>
    <t>-1.26%</t>
  </si>
  <si>
    <t>-2.31%</t>
  </si>
  <si>
    <t>+2.37%</t>
  </si>
  <si>
    <t>TEX</t>
  </si>
  <si>
    <t>+2.05%</t>
  </si>
  <si>
    <t>+0.21%</t>
  </si>
  <si>
    <t>-1.1%</t>
  </si>
  <si>
    <t>+3.46%</t>
  </si>
  <si>
    <t>CPB</t>
  </si>
  <si>
    <t>+1.1%</t>
  </si>
  <si>
    <t>-0.75%</t>
  </si>
  <si>
    <t>+2.73%</t>
  </si>
  <si>
    <t>+0.12%</t>
  </si>
  <si>
    <t>AIG</t>
  </si>
  <si>
    <t>+0.9%</t>
  </si>
  <si>
    <t>-0.21%</t>
  </si>
  <si>
    <t>-2.09%</t>
  </si>
  <si>
    <t>+0.72%</t>
  </si>
  <si>
    <t>HIG</t>
  </si>
  <si>
    <t>+1.91%</t>
  </si>
  <si>
    <t>+3.7%</t>
  </si>
  <si>
    <t>-1.39%</t>
  </si>
  <si>
    <t>+1.25%</t>
  </si>
  <si>
    <t>SEE</t>
  </si>
  <si>
    <t>+1.83%</t>
  </si>
  <si>
    <t>-0.67%</t>
  </si>
  <si>
    <t>-1.44%</t>
  </si>
  <si>
    <t>+0.97%</t>
  </si>
  <si>
    <t>PHM</t>
  </si>
  <si>
    <t>-0.66%</t>
  </si>
  <si>
    <t>+3.69%</t>
  </si>
  <si>
    <t>-1.23%</t>
  </si>
  <si>
    <t>+3.87%</t>
  </si>
  <si>
    <t>TXT</t>
  </si>
  <si>
    <t>+0.44%</t>
  </si>
  <si>
    <t>-2.51%</t>
  </si>
  <si>
    <t>+2.82%</t>
  </si>
  <si>
    <t>WBA</t>
  </si>
  <si>
    <t>+3.28%</t>
  </si>
  <si>
    <t>-0.62%</t>
  </si>
  <si>
    <t>-1.11%</t>
  </si>
  <si>
    <t>FLIR</t>
  </si>
  <si>
    <t>+1.04%</t>
  </si>
  <si>
    <t>+1.11%</t>
  </si>
  <si>
    <t>-1.09%</t>
  </si>
  <si>
    <t>+0.09%</t>
  </si>
  <si>
    <t>DAL</t>
  </si>
  <si>
    <t>+3.12%</t>
  </si>
  <si>
    <t>+2.33%</t>
  </si>
  <si>
    <t>-3.14%</t>
  </si>
  <si>
    <t>+2.13%</t>
  </si>
  <si>
    <t>RCI</t>
  </si>
  <si>
    <t>+1.29%</t>
  </si>
  <si>
    <t>+3.54%</t>
  </si>
  <si>
    <t>+5.73%</t>
  </si>
  <si>
    <t>-4.82%</t>
  </si>
  <si>
    <t>ARGO</t>
  </si>
  <si>
    <t>-0.12%</t>
  </si>
  <si>
    <t>+6.78%</t>
  </si>
  <si>
    <t>-0.35%</t>
  </si>
  <si>
    <t>-1.87%</t>
  </si>
  <si>
    <t>CAC</t>
  </si>
  <si>
    <t>+2.08%</t>
  </si>
  <si>
    <t>-2.93%</t>
  </si>
  <si>
    <t>-0.73%</t>
  </si>
  <si>
    <t>+0.91%</t>
  </si>
  <si>
    <t>CENT</t>
  </si>
  <si>
    <t>+1.03%</t>
  </si>
  <si>
    <t>-2.33%</t>
  </si>
  <si>
    <t>+1.55%</t>
  </si>
  <si>
    <t>-0.19%</t>
  </si>
  <si>
    <t>CENTA</t>
  </si>
  <si>
    <t>+1.31%</t>
  </si>
  <si>
    <t>-1.82%</t>
  </si>
  <si>
    <t>+1.77%</t>
  </si>
  <si>
    <t>-1.25%</t>
  </si>
  <si>
    <t>CSGS</t>
  </si>
  <si>
    <t>+0.23%</t>
  </si>
  <si>
    <t>-1.66%</t>
  </si>
  <si>
    <t>+0.73%</t>
  </si>
  <si>
    <t>-1.05%</t>
  </si>
  <si>
    <t>EFSC</t>
  </si>
  <si>
    <t>+3.53%</t>
  </si>
  <si>
    <t>-3.88%</t>
  </si>
  <si>
    <t>-1.35%</t>
  </si>
  <si>
    <t>+0.65%</t>
  </si>
  <si>
    <t>EGBN</t>
  </si>
  <si>
    <t>+1.85%</t>
  </si>
  <si>
    <t>-2.47%</t>
  </si>
  <si>
    <t>-1.43%</t>
  </si>
  <si>
    <t>-0.2%</t>
  </si>
  <si>
    <t>FBNC</t>
  </si>
  <si>
    <t>+1.61%</t>
  </si>
  <si>
    <t>-3.37%</t>
  </si>
  <si>
    <t>-1.18%</t>
  </si>
  <si>
    <t>+0.28%</t>
  </si>
  <si>
    <t>FFIN</t>
  </si>
  <si>
    <t>+2.45%</t>
  </si>
  <si>
    <t>-0.96%</t>
  </si>
  <si>
    <t>-0.59%</t>
  </si>
  <si>
    <t>-0.82%</t>
  </si>
  <si>
    <t>FIBK</t>
  </si>
  <si>
    <t>-2.42%</t>
  </si>
  <si>
    <t>-0.93%</t>
  </si>
  <si>
    <t>-0.08%</t>
  </si>
  <si>
    <t>FRME</t>
  </si>
  <si>
    <t>-3.3%</t>
  </si>
  <si>
    <t>-0.58%</t>
  </si>
  <si>
    <t>+0.48%</t>
  </si>
  <si>
    <t>HTLF</t>
  </si>
  <si>
    <t>+1.69%</t>
  </si>
  <si>
    <t>-1.63%</t>
  </si>
  <si>
    <t>+0.38%</t>
  </si>
  <si>
    <t>NRIM</t>
  </si>
  <si>
    <t>+2.62%</t>
  </si>
  <si>
    <t>-2.77%</t>
  </si>
  <si>
    <t>-1.79%</t>
  </si>
  <si>
    <t>+0.57%</t>
  </si>
  <si>
    <t>OTEX</t>
  </si>
  <si>
    <t>-0.61%</t>
  </si>
  <si>
    <t>TRIP</t>
  </si>
  <si>
    <t>+8.1%</t>
  </si>
  <si>
    <t>-3.66%</t>
  </si>
  <si>
    <t>+4.11%</t>
  </si>
  <si>
    <t>LNT</t>
  </si>
  <si>
    <t>+2.26%</t>
  </si>
  <si>
    <t>+3.07%</t>
  </si>
  <si>
    <t>+0.02%</t>
  </si>
  <si>
    <t>-1.88%</t>
  </si>
  <si>
    <t>WRK</t>
  </si>
  <si>
    <t>+0.0%</t>
  </si>
  <si>
    <t>-0.97%</t>
  </si>
  <si>
    <t>+2.91%</t>
  </si>
  <si>
    <t>NEN</t>
  </si>
  <si>
    <t>+5.46%</t>
  </si>
  <si>
    <t>-1.14%</t>
  </si>
  <si>
    <t>-0.09%</t>
  </si>
  <si>
    <t>NYSE Amex</t>
  </si>
  <si>
    <t>SPR</t>
  </si>
  <si>
    <t>+3.15%</t>
  </si>
  <si>
    <t>EPR</t>
  </si>
  <si>
    <t>+1.75%</t>
  </si>
  <si>
    <t>+3.17%</t>
  </si>
  <si>
    <t>+2.29%</t>
  </si>
  <si>
    <t>PBH</t>
  </si>
  <si>
    <t>+1.35%</t>
  </si>
  <si>
    <t>+2.47%</t>
  </si>
  <si>
    <t>-1.57%</t>
  </si>
  <si>
    <t>-0.49%</t>
  </si>
  <si>
    <t>AL</t>
  </si>
  <si>
    <t>-0.1%</t>
  </si>
  <si>
    <t>-0.9%</t>
  </si>
  <si>
    <t>BKU</t>
  </si>
  <si>
    <t>+1.9%</t>
  </si>
  <si>
    <t>-0.04%</t>
  </si>
  <si>
    <t>-1.56%</t>
  </si>
  <si>
    <t>-1.59%</t>
  </si>
  <si>
    <t>DCO</t>
  </si>
  <si>
    <t>+2.32%</t>
  </si>
  <si>
    <t>-3.61%</t>
  </si>
  <si>
    <t>-3.81%</t>
  </si>
  <si>
    <t>+2.86%</t>
  </si>
  <si>
    <t>KKR</t>
  </si>
  <si>
    <t>-0.85%</t>
  </si>
  <si>
    <t>+0.1%</t>
  </si>
  <si>
    <t>QCRH</t>
  </si>
  <si>
    <t>-0.06%</t>
  </si>
  <si>
    <t>-2.02%</t>
  </si>
  <si>
    <t>-0.83%</t>
  </si>
  <si>
    <t>+0.19%</t>
  </si>
  <si>
    <t>SFST</t>
  </si>
  <si>
    <t>-1.72%</t>
  </si>
  <si>
    <t>-1.5%</t>
  </si>
  <si>
    <t>-1.62%</t>
  </si>
  <si>
    <t>PFIS</t>
  </si>
  <si>
    <t>PNRG</t>
  </si>
  <si>
    <t>-1.99%</t>
  </si>
  <si>
    <t>-2.12%</t>
  </si>
  <si>
    <t>+3.33%</t>
  </si>
  <si>
    <t>FWONK</t>
  </si>
  <si>
    <t>-0.28%</t>
  </si>
  <si>
    <t>+1.21%</t>
  </si>
  <si>
    <t>+1.81%</t>
  </si>
  <si>
    <t>-0.31%</t>
  </si>
  <si>
    <t>ALTM</t>
  </si>
  <si>
    <t>+3.01%</t>
  </si>
  <si>
    <t>-1.84%</t>
  </si>
  <si>
    <t>+1.68%</t>
  </si>
  <si>
    <t>FTDR</t>
  </si>
  <si>
    <t>+0.67%</t>
  </si>
  <si>
    <t>+0.92%</t>
  </si>
  <si>
    <t>XPEL</t>
  </si>
  <si>
    <t>-0.74%</t>
  </si>
  <si>
    <t>-1.71%</t>
  </si>
  <si>
    <t>+0.68%</t>
  </si>
  <si>
    <t>THS</t>
  </si>
  <si>
    <t>+1.2%</t>
  </si>
  <si>
    <t>+0.96%</t>
  </si>
  <si>
    <t>+0.15%</t>
  </si>
  <si>
    <t>TOL</t>
  </si>
  <si>
    <t>+2.23%</t>
  </si>
  <si>
    <t>+4.22%</t>
  </si>
  <si>
    <t>SIX</t>
  </si>
  <si>
    <t>-0.26%</t>
  </si>
  <si>
    <t>-3.45%</t>
  </si>
  <si>
    <t>+2.4%</t>
  </si>
  <si>
    <t>SNY</t>
  </si>
  <si>
    <t>+0.36%</t>
  </si>
  <si>
    <t>+1.46%</t>
  </si>
  <si>
    <t>+1.42%</t>
  </si>
  <si>
    <t>-0.57%</t>
  </si>
  <si>
    <t>KTB</t>
  </si>
  <si>
    <t>-0.68%</t>
  </si>
  <si>
    <t>-2.96%</t>
  </si>
  <si>
    <t>+3.29%</t>
  </si>
  <si>
    <t>indx</t>
  </si>
  <si>
    <t>C-O</t>
  </si>
  <si>
    <t>O-H</t>
  </si>
  <si>
    <t>больше 2,0%</t>
  </si>
  <si>
    <t>1,5% vs 2%</t>
  </si>
  <si>
    <t>Заход</t>
  </si>
  <si>
    <t>1% vs 1,5%</t>
  </si>
  <si>
    <t>Выход</t>
  </si>
  <si>
    <t xml:space="preserve">0,5% vs 1%  </t>
  </si>
  <si>
    <t>%</t>
  </si>
  <si>
    <t>0,0% vs 0,5%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</si>
</sst>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DF0C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0" fillId="0" borderId="1" xfId="0" applyBorder="1"/>
    <xf numFmtId="0" fontId="0" fillId="2" borderId="1" xfId="0" applyFill="1" applyBorder="1"/>
    <xf numFmtId="9" fontId="0" fillId="0" borderId="0" xfId="1" applyFont="1"/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3" borderId="1" xfId="0" applyFill="1" applyBorder="1"/>
    <xf numFmtId="0" fontId="0" fillId="4" borderId="1" xfId="0" applyFill="1" applyBorder="1"/>
    <xf numFmtId="2" fontId="0" fillId="0" borderId="1" xfId="0" applyNumberFormat="1" applyBorder="1"/>
    <xf numFmtId="0" fontId="0" fillId="5" borderId="1" xfId="0" applyFill="1" applyBorder="1"/>
    <xf numFmtId="10" fontId="0" fillId="6" borderId="1" xfId="1" applyNumberFormat="1" applyFont="1" applyFill="1" applyBorder="1"/>
    <xf numFmtId="0" fontId="0" fillId="7" borderId="1" xfId="0" applyFill="1" applyBorder="1"/>
    <xf numFmtId="10" fontId="0" fillId="0" borderId="1" xfId="0" applyNumberFormat="1" applyBorder="1"/>
    <xf numFmtId="0" fontId="0" fillId="8" borderId="1" xfId="0" applyFill="1" applyBorder="1"/>
    <xf numFmtId="2" fontId="0" fillId="0" borderId="0" xfId="0" applyNumberFormat="1"/>
    <xf numFmtId="10" fontId="0" fillId="0" borderId="0" xfId="1" applyNumberFormat="1" applyFont="1"/>
  </cellXfs>
  <cellStyles count="2">
    <cellStyle name="Обычный" xfId="0" builtinId="0"/>
    <cellStyle name="Процентный" xfId="1" builtinId="5"/>
  </cellStyles>
  <dxfs count="8"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solid">
          <fgColor rgb="FFC4D79B"/>
          <bgColor rgb="FF000000"/>
        </patternFill>
      </fill>
    </dxf>
    <dxf>
      <fill>
        <patternFill patternType="solid">
          <fgColor rgb="FF948A54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R252"/>
  <sheetViews>
    <sheetView tabSelected="1" workbookViewId="0">
      <selection activeCell="CX9" sqref="CX9"/>
    </sheetView>
  </sheetViews>
  <sheetFormatPr defaultRowHeight="15" outlineLevelCol="2" x14ac:dyDescent="0.25"/>
  <cols>
    <col min="14" max="14" width="0" hidden="1" customWidth="1" outlineLevel="1"/>
    <col min="15" max="19" width="0" hidden="1" customWidth="1" outlineLevel="2"/>
    <col min="20" max="20" width="0" hidden="1" customWidth="1" outlineLevel="1" collapsed="1"/>
    <col min="21" max="23" width="0" hidden="1" customWidth="1" outlineLevel="1"/>
    <col min="24" max="28" width="0" hidden="1" customWidth="1" outlineLevel="2"/>
    <col min="29" max="29" width="0" hidden="1" customWidth="1" outlineLevel="1" collapsed="1"/>
    <col min="30" max="33" width="0" hidden="1" customWidth="1" outlineLevel="1"/>
    <col min="34" max="38" width="0" hidden="1" customWidth="1" outlineLevel="2"/>
    <col min="39" max="39" width="0" hidden="1" customWidth="1" outlineLevel="1" collapsed="1"/>
    <col min="40" max="42" width="0" hidden="1" customWidth="1" outlineLevel="1"/>
    <col min="43" max="47" width="0" hidden="1" customWidth="1" outlineLevel="2"/>
    <col min="48" max="48" width="0" hidden="1" customWidth="1" outlineLevel="1" collapsed="1"/>
    <col min="49" max="52" width="0" hidden="1" customWidth="1" outlineLevel="1"/>
    <col min="53" max="57" width="0" hidden="1" customWidth="1" outlineLevel="2"/>
    <col min="58" max="58" width="0" hidden="1" customWidth="1" outlineLevel="1" collapsed="1"/>
    <col min="59" max="61" width="0" hidden="1" customWidth="1" outlineLevel="1"/>
    <col min="62" max="66" width="0" hidden="1" customWidth="1" outlineLevel="2"/>
    <col min="67" max="67" width="0" hidden="1" customWidth="1" outlineLevel="1" collapsed="1"/>
    <col min="68" max="71" width="0" hidden="1" customWidth="1" outlineLevel="1"/>
    <col min="72" max="76" width="0" hidden="1" customWidth="1" outlineLevel="2"/>
    <col min="77" max="77" width="0" hidden="1" customWidth="1" outlineLevel="1" collapsed="1"/>
    <col min="78" max="80" width="0" hidden="1" customWidth="1" outlineLevel="1"/>
    <col min="81" max="85" width="0" hidden="1" customWidth="1" outlineLevel="2"/>
    <col min="86" max="86" width="0" hidden="1" customWidth="1" outlineLevel="1" collapsed="1"/>
    <col min="87" max="89" width="0" hidden="1" customWidth="1" outlineLevel="1"/>
    <col min="90" max="90" width="9.140625" collapsed="1"/>
    <col min="96" max="96" width="12.28515625" hidden="1" customWidth="1"/>
  </cols>
  <sheetData>
    <row r="1" spans="1:96" x14ac:dyDescent="0.25">
      <c r="G1" s="3" t="s">
        <v>329</v>
      </c>
      <c r="H1" s="4">
        <v>20</v>
      </c>
      <c r="I1" s="5">
        <f>H1/$E$2</f>
        <v>0.37735849056603776</v>
      </c>
    </row>
    <row r="2" spans="1:96" x14ac:dyDescent="0.25">
      <c r="B2" s="6">
        <v>44273</v>
      </c>
      <c r="C2" s="7"/>
      <c r="E2">
        <f>SUBTOTAL(  2,A:A)</f>
        <v>53</v>
      </c>
      <c r="G2" s="3" t="s">
        <v>330</v>
      </c>
      <c r="H2" s="8">
        <v>5</v>
      </c>
      <c r="I2" s="5">
        <f t="shared" ref="I2:I6" si="0">H2/$E$2</f>
        <v>9.4339622641509441E-2</v>
      </c>
      <c r="K2" s="3" t="s">
        <v>331</v>
      </c>
      <c r="L2" s="3">
        <f>SUBTOTAL( 9,CL:CL)</f>
        <v>2734.1900000000005</v>
      </c>
    </row>
    <row r="3" spans="1:96" x14ac:dyDescent="0.25">
      <c r="G3" s="3" t="s">
        <v>332</v>
      </c>
      <c r="H3" s="9">
        <v>10</v>
      </c>
      <c r="I3" s="5">
        <f t="shared" si="0"/>
        <v>0.18867924528301888</v>
      </c>
      <c r="K3" s="3" t="s">
        <v>333</v>
      </c>
      <c r="L3" s="10">
        <f>SUBTOTAL( 9,CR:CR)</f>
        <v>2787.7594164839838</v>
      </c>
    </row>
    <row r="4" spans="1:96" x14ac:dyDescent="0.25">
      <c r="G4" s="3" t="s">
        <v>334</v>
      </c>
      <c r="H4" s="11">
        <v>7</v>
      </c>
      <c r="I4" s="5">
        <f t="shared" si="0"/>
        <v>0.13207547169811321</v>
      </c>
      <c r="K4" s="3" t="s">
        <v>335</v>
      </c>
      <c r="L4" s="12">
        <f>100%-(L2/L3)</f>
        <v>1.9215939570404905E-2</v>
      </c>
    </row>
    <row r="5" spans="1:96" x14ac:dyDescent="0.25">
      <c r="G5" s="3" t="s">
        <v>336</v>
      </c>
      <c r="H5" s="13">
        <v>6</v>
      </c>
      <c r="I5" s="5">
        <f t="shared" si="0"/>
        <v>0.11320754716981132</v>
      </c>
    </row>
    <row r="6" spans="1:96" x14ac:dyDescent="0.25">
      <c r="G6" s="14">
        <v>0</v>
      </c>
      <c r="H6" s="15">
        <v>5</v>
      </c>
      <c r="I6" s="5">
        <f t="shared" si="0"/>
        <v>9.4339622641509441E-2</v>
      </c>
    </row>
    <row r="8" spans="1:96" x14ac:dyDescent="0.25">
      <c r="A8" s="2" t="s">
        <v>326</v>
      </c>
      <c r="B8" s="1" t="s">
        <v>0</v>
      </c>
      <c r="C8" s="1" t="s">
        <v>1</v>
      </c>
      <c r="D8" s="1" t="s">
        <v>2</v>
      </c>
      <c r="E8" s="1" t="s">
        <v>3</v>
      </c>
      <c r="F8" s="1" t="s">
        <v>4</v>
      </c>
      <c r="G8" s="1" t="s">
        <v>5</v>
      </c>
      <c r="H8" s="1" t="s">
        <v>6</v>
      </c>
      <c r="I8" s="1" t="s">
        <v>7</v>
      </c>
      <c r="J8" s="1" t="s">
        <v>8</v>
      </c>
      <c r="K8" s="1" t="s">
        <v>9</v>
      </c>
      <c r="L8" s="1" t="s">
        <v>10</v>
      </c>
      <c r="M8" s="1" t="s">
        <v>11</v>
      </c>
      <c r="N8" s="1" t="s">
        <v>12</v>
      </c>
      <c r="O8" s="1" t="s">
        <v>13</v>
      </c>
      <c r="P8" s="1" t="s">
        <v>14</v>
      </c>
      <c r="Q8" s="1" t="s">
        <v>15</v>
      </c>
      <c r="R8" s="1" t="s">
        <v>16</v>
      </c>
      <c r="S8" s="1" t="s">
        <v>17</v>
      </c>
      <c r="T8" s="1" t="s">
        <v>18</v>
      </c>
      <c r="U8" s="1" t="s">
        <v>19</v>
      </c>
      <c r="V8" s="1" t="s">
        <v>20</v>
      </c>
      <c r="W8" s="1" t="s">
        <v>21</v>
      </c>
      <c r="X8" s="1" t="s">
        <v>22</v>
      </c>
      <c r="Y8" s="1" t="s">
        <v>23</v>
      </c>
      <c r="Z8" s="1" t="s">
        <v>24</v>
      </c>
      <c r="AA8" s="1" t="s">
        <v>25</v>
      </c>
      <c r="AB8" s="1" t="s">
        <v>26</v>
      </c>
      <c r="AC8" s="1" t="s">
        <v>27</v>
      </c>
      <c r="AD8" s="1" t="s">
        <v>28</v>
      </c>
      <c r="AE8" s="1" t="s">
        <v>29</v>
      </c>
      <c r="AF8" s="1" t="s">
        <v>30</v>
      </c>
      <c r="AG8" s="1" t="s">
        <v>31</v>
      </c>
      <c r="AH8" s="1" t="s">
        <v>32</v>
      </c>
      <c r="AI8" s="1" t="s">
        <v>33</v>
      </c>
      <c r="AJ8" s="1" t="s">
        <v>34</v>
      </c>
      <c r="AK8" s="1" t="s">
        <v>35</v>
      </c>
      <c r="AL8" s="1" t="s">
        <v>36</v>
      </c>
      <c r="AM8" s="1" t="s">
        <v>37</v>
      </c>
      <c r="AN8" s="1" t="s">
        <v>38</v>
      </c>
      <c r="AO8" s="1" t="s">
        <v>39</v>
      </c>
      <c r="AP8" s="1" t="s">
        <v>40</v>
      </c>
      <c r="AQ8" s="1" t="s">
        <v>41</v>
      </c>
      <c r="AR8" s="1" t="s">
        <v>42</v>
      </c>
      <c r="AS8" s="1" t="s">
        <v>43</v>
      </c>
      <c r="AT8" s="1" t="s">
        <v>44</v>
      </c>
      <c r="AU8" s="1" t="s">
        <v>45</v>
      </c>
      <c r="AV8" s="1" t="s">
        <v>46</v>
      </c>
      <c r="AW8" s="1" t="s">
        <v>47</v>
      </c>
      <c r="AX8" s="1" t="s">
        <v>48</v>
      </c>
      <c r="AY8" s="1" t="s">
        <v>49</v>
      </c>
      <c r="AZ8" s="1" t="s">
        <v>50</v>
      </c>
      <c r="BA8" s="1" t="s">
        <v>51</v>
      </c>
      <c r="BB8" s="1" t="s">
        <v>52</v>
      </c>
      <c r="BC8" s="1" t="s">
        <v>53</v>
      </c>
      <c r="BD8" s="1" t="s">
        <v>54</v>
      </c>
      <c r="BE8" s="1" t="s">
        <v>55</v>
      </c>
      <c r="BF8" s="1" t="s">
        <v>56</v>
      </c>
      <c r="BG8" s="1" t="s">
        <v>57</v>
      </c>
      <c r="BH8" s="1" t="s">
        <v>58</v>
      </c>
      <c r="BI8" s="1" t="s">
        <v>59</v>
      </c>
      <c r="BJ8" s="1" t="s">
        <v>60</v>
      </c>
      <c r="BK8" s="1" t="s">
        <v>61</v>
      </c>
      <c r="BL8" s="1" t="s">
        <v>62</v>
      </c>
      <c r="BM8" s="1" t="s">
        <v>63</v>
      </c>
      <c r="BN8" s="1" t="s">
        <v>64</v>
      </c>
      <c r="BO8" s="1" t="s">
        <v>65</v>
      </c>
      <c r="BP8" s="1" t="s">
        <v>66</v>
      </c>
      <c r="BQ8" s="1" t="s">
        <v>67</v>
      </c>
      <c r="BR8" s="1" t="s">
        <v>68</v>
      </c>
      <c r="BS8" s="1" t="s">
        <v>69</v>
      </c>
      <c r="BT8" s="1" t="s">
        <v>70</v>
      </c>
      <c r="BU8" s="1" t="s">
        <v>71</v>
      </c>
      <c r="BV8" s="1" t="s">
        <v>72</v>
      </c>
      <c r="BW8" s="1" t="s">
        <v>73</v>
      </c>
      <c r="BX8" s="1" t="s">
        <v>74</v>
      </c>
      <c r="BY8" s="1" t="s">
        <v>75</v>
      </c>
      <c r="BZ8" s="1" t="s">
        <v>76</v>
      </c>
      <c r="CA8" s="1" t="s">
        <v>77</v>
      </c>
      <c r="CB8" s="1" t="s">
        <v>78</v>
      </c>
      <c r="CC8" s="1" t="s">
        <v>79</v>
      </c>
      <c r="CD8" s="1" t="s">
        <v>80</v>
      </c>
      <c r="CE8" s="1" t="s">
        <v>81</v>
      </c>
      <c r="CF8" s="1" t="s">
        <v>82</v>
      </c>
      <c r="CG8" s="1" t="s">
        <v>83</v>
      </c>
      <c r="CH8" s="1" t="s">
        <v>84</v>
      </c>
      <c r="CI8" s="1" t="s">
        <v>85</v>
      </c>
      <c r="CJ8" s="1" t="s">
        <v>86</v>
      </c>
      <c r="CK8" s="1" t="s">
        <v>87</v>
      </c>
      <c r="CL8" s="1" t="s">
        <v>88</v>
      </c>
      <c r="CM8" s="1" t="s">
        <v>89</v>
      </c>
      <c r="CN8" s="1" t="s">
        <v>90</v>
      </c>
      <c r="CO8" s="2" t="s">
        <v>327</v>
      </c>
      <c r="CP8" s="2" t="s">
        <v>328</v>
      </c>
    </row>
    <row r="9" spans="1:96" x14ac:dyDescent="0.25">
      <c r="A9">
        <v>0</v>
      </c>
      <c r="B9" t="s">
        <v>91</v>
      </c>
      <c r="C9">
        <v>9</v>
      </c>
      <c r="D9">
        <v>0</v>
      </c>
      <c r="E9">
        <v>6</v>
      </c>
      <c r="F9">
        <v>0</v>
      </c>
      <c r="G9" t="s">
        <v>92</v>
      </c>
      <c r="H9" t="s">
        <v>92</v>
      </c>
      <c r="I9">
        <v>6</v>
      </c>
      <c r="J9">
        <v>0</v>
      </c>
      <c r="K9" t="s">
        <v>92</v>
      </c>
      <c r="L9" t="s">
        <v>92</v>
      </c>
      <c r="M9">
        <v>60.05</v>
      </c>
      <c r="N9" t="s">
        <v>93</v>
      </c>
      <c r="O9">
        <v>13</v>
      </c>
      <c r="P9">
        <v>21</v>
      </c>
      <c r="Q9">
        <v>4</v>
      </c>
      <c r="R9">
        <v>3</v>
      </c>
      <c r="S9">
        <v>112</v>
      </c>
      <c r="T9">
        <v>0</v>
      </c>
      <c r="U9">
        <v>0</v>
      </c>
      <c r="V9">
        <v>0</v>
      </c>
      <c r="W9">
        <v>0</v>
      </c>
      <c r="X9">
        <v>3</v>
      </c>
      <c r="Y9">
        <v>3</v>
      </c>
      <c r="Z9">
        <v>2</v>
      </c>
      <c r="AA9">
        <v>0</v>
      </c>
      <c r="AB9">
        <v>0</v>
      </c>
      <c r="AC9">
        <v>1</v>
      </c>
      <c r="AD9">
        <v>5</v>
      </c>
      <c r="AE9">
        <v>1</v>
      </c>
      <c r="AF9">
        <v>5</v>
      </c>
      <c r="AG9" t="s">
        <v>94</v>
      </c>
      <c r="AH9">
        <v>9</v>
      </c>
      <c r="AI9">
        <v>23</v>
      </c>
      <c r="AJ9">
        <v>17</v>
      </c>
      <c r="AK9">
        <v>0</v>
      </c>
      <c r="AL9">
        <v>0</v>
      </c>
      <c r="AM9">
        <v>1</v>
      </c>
      <c r="AN9">
        <v>17</v>
      </c>
      <c r="AO9">
        <v>0</v>
      </c>
      <c r="AP9">
        <v>0</v>
      </c>
      <c r="AQ9">
        <v>2</v>
      </c>
      <c r="AR9">
        <v>4</v>
      </c>
      <c r="AS9">
        <v>0</v>
      </c>
      <c r="AT9">
        <v>0</v>
      </c>
      <c r="AU9">
        <v>124</v>
      </c>
      <c r="AV9">
        <v>0</v>
      </c>
      <c r="AW9">
        <v>0</v>
      </c>
      <c r="AX9">
        <v>0</v>
      </c>
      <c r="AY9">
        <v>0</v>
      </c>
      <c r="AZ9" t="s">
        <v>95</v>
      </c>
      <c r="BA9">
        <v>16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13</v>
      </c>
      <c r="BK9">
        <v>6</v>
      </c>
      <c r="BL9">
        <v>8</v>
      </c>
      <c r="BM9">
        <v>4</v>
      </c>
      <c r="BN9">
        <v>118</v>
      </c>
      <c r="BO9">
        <v>0</v>
      </c>
      <c r="BP9">
        <v>0</v>
      </c>
      <c r="BQ9">
        <v>0</v>
      </c>
      <c r="BR9">
        <v>0</v>
      </c>
      <c r="BS9" t="s">
        <v>96</v>
      </c>
      <c r="BT9">
        <v>2</v>
      </c>
      <c r="BU9">
        <v>15</v>
      </c>
      <c r="BV9">
        <v>16</v>
      </c>
      <c r="BW9">
        <v>20</v>
      </c>
      <c r="BX9">
        <v>72</v>
      </c>
      <c r="BY9">
        <v>0</v>
      </c>
      <c r="BZ9">
        <v>0</v>
      </c>
      <c r="CA9">
        <v>0</v>
      </c>
      <c r="CB9">
        <v>0</v>
      </c>
      <c r="CC9">
        <v>1</v>
      </c>
      <c r="CD9">
        <v>2</v>
      </c>
      <c r="CE9">
        <v>3</v>
      </c>
      <c r="CF9">
        <v>1</v>
      </c>
      <c r="CG9">
        <v>30</v>
      </c>
      <c r="CH9">
        <v>1</v>
      </c>
      <c r="CI9">
        <v>36</v>
      </c>
      <c r="CJ9">
        <v>1</v>
      </c>
      <c r="CK9">
        <v>36</v>
      </c>
      <c r="CL9">
        <v>60</v>
      </c>
      <c r="CM9">
        <v>62.22</v>
      </c>
      <c r="CN9" t="s">
        <v>97</v>
      </c>
      <c r="CO9" s="17">
        <f>100%-(M9/CL9)</f>
        <v>-8.3333333333324155E-4</v>
      </c>
      <c r="CP9" s="17">
        <f>100%-(CL9/CM9)</f>
        <v>3.5679845708775249E-2</v>
      </c>
      <c r="CR9" s="16">
        <f>CL9*CP9+CL9</f>
        <v>62.140790742526512</v>
      </c>
    </row>
    <row r="10" spans="1:96" x14ac:dyDescent="0.25">
      <c r="A10">
        <v>1</v>
      </c>
      <c r="B10" t="s">
        <v>98</v>
      </c>
      <c r="C10">
        <v>9</v>
      </c>
      <c r="D10">
        <v>2</v>
      </c>
      <c r="E10">
        <v>5</v>
      </c>
      <c r="F10">
        <v>1</v>
      </c>
      <c r="G10" t="s">
        <v>92</v>
      </c>
      <c r="H10" t="s">
        <v>92</v>
      </c>
      <c r="I10">
        <v>6</v>
      </c>
      <c r="J10">
        <v>0</v>
      </c>
      <c r="K10" t="s">
        <v>92</v>
      </c>
      <c r="L10" t="s">
        <v>92</v>
      </c>
      <c r="M10">
        <v>47.97</v>
      </c>
      <c r="N10" t="s">
        <v>99</v>
      </c>
      <c r="O10">
        <v>24</v>
      </c>
      <c r="P10">
        <v>42</v>
      </c>
      <c r="Q10">
        <v>12</v>
      </c>
      <c r="R10">
        <v>4</v>
      </c>
      <c r="S10">
        <v>0</v>
      </c>
      <c r="T10">
        <v>1</v>
      </c>
      <c r="U10">
        <v>7</v>
      </c>
      <c r="V10">
        <v>0</v>
      </c>
      <c r="W10">
        <v>0</v>
      </c>
      <c r="X10">
        <v>5</v>
      </c>
      <c r="Y10">
        <v>0</v>
      </c>
      <c r="Z10">
        <v>0</v>
      </c>
      <c r="AA10">
        <v>1</v>
      </c>
      <c r="AB10">
        <v>0</v>
      </c>
      <c r="AC10">
        <v>1</v>
      </c>
      <c r="AD10">
        <v>0</v>
      </c>
      <c r="AE10">
        <v>0</v>
      </c>
      <c r="AF10">
        <v>0</v>
      </c>
      <c r="AG10" t="s">
        <v>100</v>
      </c>
      <c r="AH10">
        <v>2</v>
      </c>
      <c r="AI10">
        <v>0</v>
      </c>
      <c r="AJ10">
        <v>1</v>
      </c>
      <c r="AK10">
        <v>0</v>
      </c>
      <c r="AL10">
        <v>0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1</v>
      </c>
      <c r="AU10">
        <v>81</v>
      </c>
      <c r="AV10">
        <v>1</v>
      </c>
      <c r="AW10">
        <v>2</v>
      </c>
      <c r="AX10">
        <v>0</v>
      </c>
      <c r="AY10">
        <v>0</v>
      </c>
      <c r="AZ10" t="s">
        <v>101</v>
      </c>
      <c r="BA10">
        <v>1</v>
      </c>
      <c r="BB10">
        <v>0</v>
      </c>
      <c r="BC10">
        <v>0</v>
      </c>
      <c r="BD10">
        <v>1</v>
      </c>
      <c r="BE10">
        <v>0</v>
      </c>
      <c r="BF10">
        <v>1</v>
      </c>
      <c r="BG10">
        <v>1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83</v>
      </c>
      <c r="BO10">
        <v>0</v>
      </c>
      <c r="BP10">
        <v>0</v>
      </c>
      <c r="BQ10">
        <v>0</v>
      </c>
      <c r="BR10">
        <v>0</v>
      </c>
      <c r="BS10" t="s">
        <v>102</v>
      </c>
      <c r="BT10">
        <v>1</v>
      </c>
      <c r="BU10">
        <v>2</v>
      </c>
      <c r="BV10">
        <v>11</v>
      </c>
      <c r="BW10">
        <v>23</v>
      </c>
      <c r="BX10">
        <v>51</v>
      </c>
      <c r="BY10">
        <v>0</v>
      </c>
      <c r="BZ10">
        <v>0</v>
      </c>
      <c r="CA10">
        <v>0</v>
      </c>
      <c r="CB10">
        <v>0</v>
      </c>
      <c r="CC10">
        <v>2</v>
      </c>
      <c r="CD10">
        <v>0</v>
      </c>
      <c r="CE10">
        <v>0</v>
      </c>
      <c r="CF10">
        <v>0</v>
      </c>
      <c r="CG10">
        <v>3</v>
      </c>
      <c r="CH10">
        <v>1</v>
      </c>
      <c r="CI10">
        <v>3</v>
      </c>
      <c r="CJ10">
        <v>1</v>
      </c>
      <c r="CK10">
        <v>3</v>
      </c>
      <c r="CL10">
        <v>48.04</v>
      </c>
      <c r="CM10">
        <v>49.23</v>
      </c>
      <c r="CN10" t="s">
        <v>103</v>
      </c>
      <c r="CO10" s="17">
        <f t="shared" ref="CO10:CO61" si="1">100%-(M10/CL10)</f>
        <v>1.457119067443835E-3</v>
      </c>
      <c r="CP10" s="17">
        <f t="shared" ref="CP10:CP61" si="2">100%-(CL10/CM10)</f>
        <v>2.4172252691448293E-2</v>
      </c>
      <c r="CR10" s="16">
        <f t="shared" ref="CR10:CR73" si="3">CL10*CP10+CL10</f>
        <v>49.201235019297172</v>
      </c>
    </row>
    <row r="11" spans="1:96" x14ac:dyDescent="0.25">
      <c r="A11">
        <v>2</v>
      </c>
      <c r="B11" t="s">
        <v>104</v>
      </c>
      <c r="C11">
        <v>9</v>
      </c>
      <c r="D11">
        <v>0</v>
      </c>
      <c r="E11">
        <v>6</v>
      </c>
      <c r="F11">
        <v>0</v>
      </c>
      <c r="G11" t="s">
        <v>92</v>
      </c>
      <c r="H11" t="s">
        <v>92</v>
      </c>
      <c r="I11">
        <v>6</v>
      </c>
      <c r="J11">
        <v>0</v>
      </c>
      <c r="K11" t="s">
        <v>92</v>
      </c>
      <c r="L11" t="s">
        <v>92</v>
      </c>
      <c r="M11">
        <v>56.92</v>
      </c>
      <c r="N11" t="s">
        <v>105</v>
      </c>
      <c r="O11">
        <v>0</v>
      </c>
      <c r="P11">
        <v>3</v>
      </c>
      <c r="Q11">
        <v>2</v>
      </c>
      <c r="R11">
        <v>11</v>
      </c>
      <c r="S11">
        <v>63</v>
      </c>
      <c r="T11">
        <v>0</v>
      </c>
      <c r="U11">
        <v>0</v>
      </c>
      <c r="V11">
        <v>0</v>
      </c>
      <c r="W11">
        <v>0</v>
      </c>
      <c r="X11">
        <v>1</v>
      </c>
      <c r="Y11">
        <v>0</v>
      </c>
      <c r="Z11">
        <v>1</v>
      </c>
      <c r="AA11">
        <v>0</v>
      </c>
      <c r="AB11">
        <v>2</v>
      </c>
      <c r="AC11">
        <v>1</v>
      </c>
      <c r="AD11">
        <v>3</v>
      </c>
      <c r="AE11">
        <v>1</v>
      </c>
      <c r="AF11">
        <v>3</v>
      </c>
      <c r="AG11" t="s">
        <v>106</v>
      </c>
      <c r="AH11">
        <v>1</v>
      </c>
      <c r="AI11">
        <v>1</v>
      </c>
      <c r="AJ11">
        <v>2</v>
      </c>
      <c r="AK11">
        <v>7</v>
      </c>
      <c r="AL11">
        <v>68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1</v>
      </c>
      <c r="AS11">
        <v>1</v>
      </c>
      <c r="AT11">
        <v>0</v>
      </c>
      <c r="AU11">
        <v>2</v>
      </c>
      <c r="AV11">
        <v>1</v>
      </c>
      <c r="AW11">
        <v>4</v>
      </c>
      <c r="AX11">
        <v>1</v>
      </c>
      <c r="AY11">
        <v>4</v>
      </c>
      <c r="AZ11" t="s">
        <v>107</v>
      </c>
      <c r="BA11">
        <v>7</v>
      </c>
      <c r="BB11">
        <v>22</v>
      </c>
      <c r="BC11">
        <v>14</v>
      </c>
      <c r="BD11">
        <v>37</v>
      </c>
      <c r="BE11">
        <v>3</v>
      </c>
      <c r="BF11">
        <v>0</v>
      </c>
      <c r="BG11">
        <v>0</v>
      </c>
      <c r="BH11">
        <v>0</v>
      </c>
      <c r="BI11">
        <v>0</v>
      </c>
      <c r="BJ11">
        <v>2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 t="s">
        <v>108</v>
      </c>
      <c r="BT11">
        <v>20</v>
      </c>
      <c r="BU11">
        <v>19</v>
      </c>
      <c r="BV11">
        <v>2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10</v>
      </c>
      <c r="CD11">
        <v>6</v>
      </c>
      <c r="CE11">
        <v>15</v>
      </c>
      <c r="CF11">
        <v>17</v>
      </c>
      <c r="CG11">
        <v>3</v>
      </c>
      <c r="CH11">
        <v>1</v>
      </c>
      <c r="CI11">
        <v>0</v>
      </c>
      <c r="CJ11">
        <v>0</v>
      </c>
      <c r="CK11">
        <v>0</v>
      </c>
      <c r="CL11">
        <v>56.29</v>
      </c>
      <c r="CM11">
        <v>56.84</v>
      </c>
      <c r="CN11" t="s">
        <v>97</v>
      </c>
      <c r="CO11" s="17">
        <f t="shared" si="1"/>
        <v>-1.1192041215135839E-2</v>
      </c>
      <c r="CP11" s="17">
        <f t="shared" si="2"/>
        <v>9.6762843068262105E-3</v>
      </c>
      <c r="CR11" s="16">
        <f t="shared" si="3"/>
        <v>56.83467804363125</v>
      </c>
    </row>
    <row r="12" spans="1:96" x14ac:dyDescent="0.25">
      <c r="A12">
        <v>3</v>
      </c>
      <c r="B12" t="s">
        <v>109</v>
      </c>
      <c r="C12">
        <v>9</v>
      </c>
      <c r="D12">
        <v>1</v>
      </c>
      <c r="E12">
        <v>6</v>
      </c>
      <c r="F12">
        <v>0</v>
      </c>
      <c r="G12" t="s">
        <v>92</v>
      </c>
      <c r="H12" t="s">
        <v>92</v>
      </c>
      <c r="I12">
        <v>6</v>
      </c>
      <c r="J12">
        <v>0</v>
      </c>
      <c r="K12" t="s">
        <v>92</v>
      </c>
      <c r="L12" t="s">
        <v>92</v>
      </c>
      <c r="M12">
        <v>48.42</v>
      </c>
      <c r="N12" t="s">
        <v>110</v>
      </c>
      <c r="O12">
        <v>7</v>
      </c>
      <c r="P12">
        <v>14</v>
      </c>
      <c r="Q12">
        <v>8</v>
      </c>
      <c r="R12">
        <v>8</v>
      </c>
      <c r="S12">
        <v>0</v>
      </c>
      <c r="T12">
        <v>3</v>
      </c>
      <c r="U12">
        <v>16</v>
      </c>
      <c r="V12">
        <v>0</v>
      </c>
      <c r="W12">
        <v>0</v>
      </c>
      <c r="X12">
        <v>3</v>
      </c>
      <c r="Y12">
        <v>5</v>
      </c>
      <c r="Z12">
        <v>10</v>
      </c>
      <c r="AA12">
        <v>10</v>
      </c>
      <c r="AB12">
        <v>32</v>
      </c>
      <c r="AC12">
        <v>3</v>
      </c>
      <c r="AD12">
        <v>12</v>
      </c>
      <c r="AE12">
        <v>0</v>
      </c>
      <c r="AF12">
        <v>0</v>
      </c>
      <c r="AG12" t="s">
        <v>111</v>
      </c>
      <c r="AH12">
        <v>2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2</v>
      </c>
      <c r="AU12">
        <v>78</v>
      </c>
      <c r="AV12">
        <v>0</v>
      </c>
      <c r="AW12">
        <v>0</v>
      </c>
      <c r="AX12">
        <v>0</v>
      </c>
      <c r="AY12">
        <v>0</v>
      </c>
      <c r="AZ12" t="s">
        <v>112</v>
      </c>
      <c r="BA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84</v>
      </c>
      <c r="BO12">
        <v>0</v>
      </c>
      <c r="BP12">
        <v>0</v>
      </c>
      <c r="BQ12">
        <v>0</v>
      </c>
      <c r="BR12">
        <v>0</v>
      </c>
      <c r="BS12" t="s">
        <v>113</v>
      </c>
      <c r="BT12">
        <v>5</v>
      </c>
      <c r="BU12">
        <v>31</v>
      </c>
      <c r="BV12">
        <v>22</v>
      </c>
      <c r="BW12">
        <v>10</v>
      </c>
      <c r="BX12">
        <v>6</v>
      </c>
      <c r="BY12">
        <v>1</v>
      </c>
      <c r="BZ12">
        <v>1</v>
      </c>
      <c r="CA12">
        <v>0</v>
      </c>
      <c r="CB12">
        <v>0</v>
      </c>
      <c r="CC12">
        <v>5</v>
      </c>
      <c r="CD12">
        <v>1</v>
      </c>
      <c r="CE12">
        <v>1</v>
      </c>
      <c r="CF12">
        <v>4</v>
      </c>
      <c r="CG12">
        <v>1</v>
      </c>
      <c r="CH12">
        <v>2</v>
      </c>
      <c r="CI12">
        <v>7</v>
      </c>
      <c r="CJ12">
        <v>1</v>
      </c>
      <c r="CK12">
        <v>7</v>
      </c>
      <c r="CL12">
        <v>48.72</v>
      </c>
      <c r="CM12">
        <v>49.24</v>
      </c>
      <c r="CN12" t="s">
        <v>97</v>
      </c>
      <c r="CO12" s="17">
        <f t="shared" si="1"/>
        <v>6.1576354679802048E-3</v>
      </c>
      <c r="CP12" s="17">
        <f t="shared" si="2"/>
        <v>1.0560519902518384E-2</v>
      </c>
      <c r="CR12" s="16">
        <f t="shared" si="3"/>
        <v>49.234508529650697</v>
      </c>
    </row>
    <row r="13" spans="1:96" x14ac:dyDescent="0.25">
      <c r="A13">
        <v>4</v>
      </c>
      <c r="B13" t="s">
        <v>114</v>
      </c>
      <c r="C13">
        <v>9</v>
      </c>
      <c r="D13">
        <v>0</v>
      </c>
      <c r="E13">
        <v>6</v>
      </c>
      <c r="F13">
        <v>0</v>
      </c>
      <c r="G13" t="s">
        <v>92</v>
      </c>
      <c r="H13" t="s">
        <v>92</v>
      </c>
      <c r="I13">
        <v>6</v>
      </c>
      <c r="J13">
        <v>0</v>
      </c>
      <c r="K13" t="s">
        <v>92</v>
      </c>
      <c r="L13" t="s">
        <v>92</v>
      </c>
      <c r="M13">
        <v>48.45</v>
      </c>
      <c r="N13" t="s">
        <v>115</v>
      </c>
      <c r="O13">
        <v>2</v>
      </c>
      <c r="P13">
        <v>13</v>
      </c>
      <c r="Q13">
        <v>22</v>
      </c>
      <c r="R13">
        <v>24</v>
      </c>
      <c r="S13">
        <v>19</v>
      </c>
      <c r="T13">
        <v>0</v>
      </c>
      <c r="U13">
        <v>0</v>
      </c>
      <c r="V13">
        <v>0</v>
      </c>
      <c r="W13">
        <v>0</v>
      </c>
      <c r="X13">
        <v>0</v>
      </c>
      <c r="Y13">
        <v>1</v>
      </c>
      <c r="Z13">
        <v>0</v>
      </c>
      <c r="AA13">
        <v>0</v>
      </c>
      <c r="AB13">
        <v>0</v>
      </c>
      <c r="AC13">
        <v>1</v>
      </c>
      <c r="AD13">
        <v>1</v>
      </c>
      <c r="AE13">
        <v>1</v>
      </c>
      <c r="AF13">
        <v>1</v>
      </c>
      <c r="AG13" t="s">
        <v>116</v>
      </c>
      <c r="AH13">
        <v>22</v>
      </c>
      <c r="AI13">
        <v>12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5</v>
      </c>
      <c r="AR13">
        <v>1</v>
      </c>
      <c r="AS13">
        <v>4</v>
      </c>
      <c r="AT13">
        <v>2</v>
      </c>
      <c r="AU13">
        <v>39</v>
      </c>
      <c r="AV13">
        <v>0</v>
      </c>
      <c r="AW13">
        <v>0</v>
      </c>
      <c r="AX13">
        <v>0</v>
      </c>
      <c r="AY13">
        <v>0</v>
      </c>
      <c r="AZ13" t="s">
        <v>117</v>
      </c>
      <c r="BA13">
        <v>9</v>
      </c>
      <c r="BB13">
        <v>26</v>
      </c>
      <c r="BC13">
        <v>33</v>
      </c>
      <c r="BD13">
        <v>11</v>
      </c>
      <c r="BE13">
        <v>0</v>
      </c>
      <c r="BF13">
        <v>1</v>
      </c>
      <c r="BG13">
        <v>12</v>
      </c>
      <c r="BH13">
        <v>0</v>
      </c>
      <c r="BI13">
        <v>0</v>
      </c>
      <c r="BJ13">
        <v>5</v>
      </c>
      <c r="BK13">
        <v>0</v>
      </c>
      <c r="BL13">
        <v>3</v>
      </c>
      <c r="BM13">
        <v>0</v>
      </c>
      <c r="BN13">
        <v>1</v>
      </c>
      <c r="BO13">
        <v>1</v>
      </c>
      <c r="BP13">
        <v>4</v>
      </c>
      <c r="BQ13">
        <v>0</v>
      </c>
      <c r="BR13">
        <v>0</v>
      </c>
      <c r="BS13" t="s">
        <v>118</v>
      </c>
      <c r="BT13">
        <v>15</v>
      </c>
      <c r="BU13">
        <v>23</v>
      </c>
      <c r="BV13">
        <v>4</v>
      </c>
      <c r="BW13">
        <v>4</v>
      </c>
      <c r="BX13">
        <v>20</v>
      </c>
      <c r="BY13">
        <v>1</v>
      </c>
      <c r="BZ13">
        <v>1</v>
      </c>
      <c r="CA13">
        <v>0</v>
      </c>
      <c r="CB13">
        <v>0</v>
      </c>
      <c r="CC13">
        <v>5</v>
      </c>
      <c r="CD13">
        <v>3</v>
      </c>
      <c r="CE13">
        <v>2</v>
      </c>
      <c r="CF13">
        <v>2</v>
      </c>
      <c r="CG13">
        <v>11</v>
      </c>
      <c r="CH13">
        <v>2</v>
      </c>
      <c r="CI13">
        <v>18</v>
      </c>
      <c r="CJ13">
        <v>1</v>
      </c>
      <c r="CK13">
        <v>18</v>
      </c>
      <c r="CL13">
        <v>48.21</v>
      </c>
      <c r="CM13">
        <v>50.09</v>
      </c>
      <c r="CN13" t="s">
        <v>97</v>
      </c>
      <c r="CO13" s="17">
        <f t="shared" si="1"/>
        <v>-4.9782202862476144E-3</v>
      </c>
      <c r="CP13" s="17">
        <f t="shared" si="2"/>
        <v>3.7532441605110822E-2</v>
      </c>
      <c r="CR13" s="16">
        <f t="shared" si="3"/>
        <v>50.019439009782396</v>
      </c>
    </row>
    <row r="14" spans="1:96" x14ac:dyDescent="0.25">
      <c r="A14">
        <v>5</v>
      </c>
      <c r="B14" t="s">
        <v>119</v>
      </c>
      <c r="C14">
        <v>9</v>
      </c>
      <c r="D14">
        <v>0</v>
      </c>
      <c r="E14">
        <v>6</v>
      </c>
      <c r="F14">
        <v>0</v>
      </c>
      <c r="G14" t="s">
        <v>92</v>
      </c>
      <c r="H14" t="s">
        <v>92</v>
      </c>
      <c r="I14">
        <v>6</v>
      </c>
      <c r="J14">
        <v>0</v>
      </c>
      <c r="K14" t="s">
        <v>92</v>
      </c>
      <c r="L14" t="s">
        <v>92</v>
      </c>
      <c r="M14">
        <v>48.96</v>
      </c>
      <c r="N14" t="s">
        <v>120</v>
      </c>
      <c r="O14">
        <v>47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30</v>
      </c>
      <c r="Y14">
        <v>13</v>
      </c>
      <c r="Z14">
        <v>4</v>
      </c>
      <c r="AA14">
        <v>5</v>
      </c>
      <c r="AB14">
        <v>4</v>
      </c>
      <c r="AC14">
        <v>0</v>
      </c>
      <c r="AD14">
        <v>0</v>
      </c>
      <c r="AE14">
        <v>0</v>
      </c>
      <c r="AF14">
        <v>0</v>
      </c>
      <c r="AG14" t="s">
        <v>121</v>
      </c>
      <c r="AH14">
        <v>8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4</v>
      </c>
      <c r="AR14">
        <v>2</v>
      </c>
      <c r="AS14">
        <v>6</v>
      </c>
      <c r="AT14">
        <v>5</v>
      </c>
      <c r="AU14">
        <v>63</v>
      </c>
      <c r="AV14">
        <v>0</v>
      </c>
      <c r="AW14">
        <v>0</v>
      </c>
      <c r="AX14">
        <v>0</v>
      </c>
      <c r="AY14">
        <v>0</v>
      </c>
      <c r="AZ14" t="s">
        <v>122</v>
      </c>
      <c r="BA14">
        <v>3</v>
      </c>
      <c r="BB14">
        <v>1</v>
      </c>
      <c r="BC14">
        <v>1</v>
      </c>
      <c r="BD14">
        <v>11</v>
      </c>
      <c r="BE14">
        <v>64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 t="s">
        <v>123</v>
      </c>
      <c r="BT14">
        <v>18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10</v>
      </c>
      <c r="CD14">
        <v>6</v>
      </c>
      <c r="CE14">
        <v>8</v>
      </c>
      <c r="CF14">
        <v>8</v>
      </c>
      <c r="CG14">
        <v>42</v>
      </c>
      <c r="CH14">
        <v>0</v>
      </c>
      <c r="CI14">
        <v>0</v>
      </c>
      <c r="CJ14">
        <v>0</v>
      </c>
      <c r="CK14">
        <v>0</v>
      </c>
      <c r="CL14">
        <v>48.84</v>
      </c>
      <c r="CM14">
        <v>49.71</v>
      </c>
      <c r="CN14" t="s">
        <v>97</v>
      </c>
      <c r="CO14" s="17">
        <f t="shared" si="1"/>
        <v>-2.4570024570023108E-3</v>
      </c>
      <c r="CP14" s="17">
        <f t="shared" si="2"/>
        <v>1.7501508750754291E-2</v>
      </c>
      <c r="CR14" s="16">
        <f t="shared" si="3"/>
        <v>49.694773687386842</v>
      </c>
    </row>
    <row r="15" spans="1:96" x14ac:dyDescent="0.25">
      <c r="A15">
        <v>6</v>
      </c>
      <c r="B15" t="s">
        <v>124</v>
      </c>
      <c r="C15">
        <v>9</v>
      </c>
      <c r="D15">
        <v>2</v>
      </c>
      <c r="E15">
        <v>5</v>
      </c>
      <c r="F15">
        <v>1</v>
      </c>
      <c r="G15" t="s">
        <v>92</v>
      </c>
      <c r="H15" t="s">
        <v>92</v>
      </c>
      <c r="I15">
        <v>5</v>
      </c>
      <c r="J15">
        <v>1</v>
      </c>
      <c r="K15" t="s">
        <v>92</v>
      </c>
      <c r="L15" t="s">
        <v>92</v>
      </c>
      <c r="M15">
        <v>47.67</v>
      </c>
      <c r="N15" t="s">
        <v>125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5</v>
      </c>
      <c r="AB15">
        <v>84</v>
      </c>
      <c r="AC15">
        <v>0</v>
      </c>
      <c r="AD15">
        <v>0</v>
      </c>
      <c r="AE15">
        <v>0</v>
      </c>
      <c r="AF15">
        <v>0</v>
      </c>
      <c r="AG15" t="s">
        <v>126</v>
      </c>
      <c r="AH15">
        <v>26</v>
      </c>
      <c r="AI15">
        <v>4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18</v>
      </c>
      <c r="AR15">
        <v>18</v>
      </c>
      <c r="AS15">
        <v>11</v>
      </c>
      <c r="AT15">
        <v>5</v>
      </c>
      <c r="AU15">
        <v>17</v>
      </c>
      <c r="AV15">
        <v>0</v>
      </c>
      <c r="AW15">
        <v>0</v>
      </c>
      <c r="AX15">
        <v>0</v>
      </c>
      <c r="AY15">
        <v>0</v>
      </c>
      <c r="AZ15" t="s">
        <v>127</v>
      </c>
      <c r="BA15">
        <v>3</v>
      </c>
      <c r="BB15">
        <v>0</v>
      </c>
      <c r="BC15">
        <v>2</v>
      </c>
      <c r="BD15">
        <v>0</v>
      </c>
      <c r="BE15">
        <v>0</v>
      </c>
      <c r="BF15">
        <v>1</v>
      </c>
      <c r="BG15">
        <v>2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1</v>
      </c>
      <c r="BN15">
        <v>79</v>
      </c>
      <c r="BO15">
        <v>0</v>
      </c>
      <c r="BP15">
        <v>0</v>
      </c>
      <c r="BQ15">
        <v>0</v>
      </c>
      <c r="BR15">
        <v>0</v>
      </c>
      <c r="BS15" t="s">
        <v>128</v>
      </c>
      <c r="BT15">
        <v>42</v>
      </c>
      <c r="BU15">
        <v>18</v>
      </c>
      <c r="BV15">
        <v>3</v>
      </c>
      <c r="BW15">
        <v>0</v>
      </c>
      <c r="BX15">
        <v>0</v>
      </c>
      <c r="BY15">
        <v>1</v>
      </c>
      <c r="BZ15">
        <v>1</v>
      </c>
      <c r="CA15">
        <v>0</v>
      </c>
      <c r="CB15">
        <v>0</v>
      </c>
      <c r="CC15">
        <v>21</v>
      </c>
      <c r="CD15">
        <v>5</v>
      </c>
      <c r="CE15">
        <v>0</v>
      </c>
      <c r="CF15">
        <v>3</v>
      </c>
      <c r="CG15">
        <v>11</v>
      </c>
      <c r="CH15">
        <v>2</v>
      </c>
      <c r="CI15">
        <v>19</v>
      </c>
      <c r="CJ15">
        <v>0</v>
      </c>
      <c r="CK15">
        <v>0</v>
      </c>
      <c r="CL15">
        <v>48.08</v>
      </c>
      <c r="CM15">
        <v>48.98</v>
      </c>
      <c r="CN15" t="s">
        <v>97</v>
      </c>
      <c r="CO15" s="17">
        <f t="shared" si="1"/>
        <v>8.527454242928334E-3</v>
      </c>
      <c r="CP15" s="17">
        <f t="shared" si="2"/>
        <v>1.8374846876275996E-2</v>
      </c>
      <c r="CR15" s="16">
        <f t="shared" si="3"/>
        <v>48.963462637811347</v>
      </c>
    </row>
    <row r="16" spans="1:96" x14ac:dyDescent="0.25">
      <c r="A16">
        <v>7</v>
      </c>
      <c r="B16" t="s">
        <v>129</v>
      </c>
      <c r="C16">
        <v>9</v>
      </c>
      <c r="D16">
        <v>0</v>
      </c>
      <c r="E16">
        <v>6</v>
      </c>
      <c r="F16">
        <v>0</v>
      </c>
      <c r="G16" t="s">
        <v>92</v>
      </c>
      <c r="H16" t="s">
        <v>92</v>
      </c>
      <c r="I16">
        <v>6</v>
      </c>
      <c r="J16">
        <v>0</v>
      </c>
      <c r="K16" t="s">
        <v>92</v>
      </c>
      <c r="L16" t="s">
        <v>92</v>
      </c>
      <c r="M16">
        <v>57.41</v>
      </c>
      <c r="N16" t="s">
        <v>130</v>
      </c>
      <c r="O16">
        <v>61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33</v>
      </c>
      <c r="Y16">
        <v>0</v>
      </c>
      <c r="Z16">
        <v>1</v>
      </c>
      <c r="AA16">
        <v>1</v>
      </c>
      <c r="AB16">
        <v>12</v>
      </c>
      <c r="AC16">
        <v>0</v>
      </c>
      <c r="AD16">
        <v>0</v>
      </c>
      <c r="AE16">
        <v>0</v>
      </c>
      <c r="AF16">
        <v>0</v>
      </c>
      <c r="AG16" t="s">
        <v>131</v>
      </c>
      <c r="AH16">
        <v>6</v>
      </c>
      <c r="AI16">
        <v>1</v>
      </c>
      <c r="AJ16">
        <v>0</v>
      </c>
      <c r="AK16">
        <v>1</v>
      </c>
      <c r="AL16">
        <v>69</v>
      </c>
      <c r="AM16">
        <v>0</v>
      </c>
      <c r="AN16">
        <v>0</v>
      </c>
      <c r="AO16">
        <v>0</v>
      </c>
      <c r="AP16">
        <v>0</v>
      </c>
      <c r="AQ16">
        <v>4</v>
      </c>
      <c r="AR16">
        <v>1</v>
      </c>
      <c r="AS16">
        <v>2</v>
      </c>
      <c r="AT16">
        <v>1</v>
      </c>
      <c r="AU16">
        <v>0</v>
      </c>
      <c r="AV16">
        <v>1</v>
      </c>
      <c r="AW16">
        <v>4</v>
      </c>
      <c r="AX16">
        <v>1</v>
      </c>
      <c r="AY16">
        <v>4</v>
      </c>
      <c r="AZ16" t="s">
        <v>132</v>
      </c>
      <c r="BA16">
        <v>5</v>
      </c>
      <c r="BB16">
        <v>1</v>
      </c>
      <c r="BC16">
        <v>2</v>
      </c>
      <c r="BD16">
        <v>0</v>
      </c>
      <c r="BE16">
        <v>0</v>
      </c>
      <c r="BF16">
        <v>1</v>
      </c>
      <c r="BG16">
        <v>1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9</v>
      </c>
      <c r="BN16">
        <v>67</v>
      </c>
      <c r="BO16">
        <v>1</v>
      </c>
      <c r="BP16">
        <v>0</v>
      </c>
      <c r="BQ16">
        <v>0</v>
      </c>
      <c r="BR16">
        <v>0</v>
      </c>
      <c r="BS16" t="s">
        <v>133</v>
      </c>
      <c r="BT16">
        <v>40</v>
      </c>
      <c r="BU16">
        <v>19</v>
      </c>
      <c r="BV16">
        <v>2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11</v>
      </c>
      <c r="CD16">
        <v>2</v>
      </c>
      <c r="CE16">
        <v>2</v>
      </c>
      <c r="CF16">
        <v>0</v>
      </c>
      <c r="CG16">
        <v>23</v>
      </c>
      <c r="CH16">
        <v>1</v>
      </c>
      <c r="CI16">
        <v>27</v>
      </c>
      <c r="CJ16">
        <v>0</v>
      </c>
      <c r="CK16">
        <v>0</v>
      </c>
      <c r="CL16">
        <v>57.99</v>
      </c>
      <c r="CM16">
        <v>68.91</v>
      </c>
      <c r="CN16" t="s">
        <v>97</v>
      </c>
      <c r="CO16" s="17">
        <f t="shared" si="1"/>
        <v>1.0001724435247494E-2</v>
      </c>
      <c r="CP16" s="17">
        <f t="shared" si="2"/>
        <v>0.15846756639094461</v>
      </c>
      <c r="CR16" s="16">
        <f t="shared" si="3"/>
        <v>67.179534175010886</v>
      </c>
    </row>
    <row r="17" spans="1:96" x14ac:dyDescent="0.25">
      <c r="A17">
        <v>8</v>
      </c>
      <c r="B17" t="s">
        <v>134</v>
      </c>
      <c r="C17">
        <v>10</v>
      </c>
      <c r="D17">
        <v>1</v>
      </c>
      <c r="E17">
        <v>5</v>
      </c>
      <c r="F17">
        <v>1</v>
      </c>
      <c r="G17" t="s">
        <v>92</v>
      </c>
      <c r="H17" t="s">
        <v>92</v>
      </c>
      <c r="I17">
        <v>6</v>
      </c>
      <c r="J17">
        <v>0</v>
      </c>
      <c r="K17" t="s">
        <v>92</v>
      </c>
      <c r="L17" t="s">
        <v>92</v>
      </c>
      <c r="M17">
        <v>45.59</v>
      </c>
      <c r="N17" t="s">
        <v>135</v>
      </c>
      <c r="O17">
        <v>38</v>
      </c>
      <c r="P17">
        <v>25</v>
      </c>
      <c r="Q17">
        <v>7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20</v>
      </c>
      <c r="Y17">
        <v>2</v>
      </c>
      <c r="Z17">
        <v>2</v>
      </c>
      <c r="AA17">
        <v>1</v>
      </c>
      <c r="AB17">
        <v>1</v>
      </c>
      <c r="AC17">
        <v>1</v>
      </c>
      <c r="AD17">
        <v>6</v>
      </c>
      <c r="AE17">
        <v>0</v>
      </c>
      <c r="AF17">
        <v>0</v>
      </c>
      <c r="AG17" t="s">
        <v>136</v>
      </c>
      <c r="AH17">
        <v>5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1</v>
      </c>
      <c r="AS17">
        <v>2</v>
      </c>
      <c r="AT17">
        <v>0</v>
      </c>
      <c r="AU17">
        <v>74</v>
      </c>
      <c r="AV17">
        <v>0</v>
      </c>
      <c r="AW17">
        <v>0</v>
      </c>
      <c r="AX17">
        <v>0</v>
      </c>
      <c r="AY17">
        <v>0</v>
      </c>
      <c r="AZ17" t="s">
        <v>137</v>
      </c>
      <c r="BA17">
        <v>4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3</v>
      </c>
      <c r="BK17">
        <v>0</v>
      </c>
      <c r="BL17">
        <v>3</v>
      </c>
      <c r="BM17">
        <v>0</v>
      </c>
      <c r="BN17">
        <v>73</v>
      </c>
      <c r="BO17">
        <v>0</v>
      </c>
      <c r="BP17">
        <v>0</v>
      </c>
      <c r="BQ17">
        <v>0</v>
      </c>
      <c r="BR17">
        <v>0</v>
      </c>
      <c r="BS17" t="s">
        <v>138</v>
      </c>
      <c r="BT17">
        <v>16</v>
      </c>
      <c r="BU17">
        <v>45</v>
      </c>
      <c r="BV17">
        <v>16</v>
      </c>
      <c r="BW17">
        <v>4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7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45.78</v>
      </c>
      <c r="CM17">
        <v>46.41</v>
      </c>
      <c r="CN17" t="s">
        <v>97</v>
      </c>
      <c r="CO17" s="17">
        <f t="shared" si="1"/>
        <v>4.1502839667977298E-3</v>
      </c>
      <c r="CP17" s="17">
        <f t="shared" si="2"/>
        <v>1.3574660633484115E-2</v>
      </c>
      <c r="CR17" s="16">
        <f t="shared" si="3"/>
        <v>46.401447963800905</v>
      </c>
    </row>
    <row r="18" spans="1:96" x14ac:dyDescent="0.25">
      <c r="A18">
        <v>9</v>
      </c>
      <c r="B18" t="s">
        <v>139</v>
      </c>
      <c r="C18">
        <v>9</v>
      </c>
      <c r="D18">
        <v>0</v>
      </c>
      <c r="E18">
        <v>6</v>
      </c>
      <c r="F18">
        <v>0</v>
      </c>
      <c r="G18" t="s">
        <v>92</v>
      </c>
      <c r="H18" t="s">
        <v>92</v>
      </c>
      <c r="I18">
        <v>6</v>
      </c>
      <c r="J18">
        <v>0</v>
      </c>
      <c r="K18" t="s">
        <v>92</v>
      </c>
      <c r="L18" t="s">
        <v>92</v>
      </c>
      <c r="M18">
        <v>50.99</v>
      </c>
      <c r="N18" t="s">
        <v>140</v>
      </c>
      <c r="O18">
        <v>6</v>
      </c>
      <c r="P18">
        <v>6</v>
      </c>
      <c r="Q18">
        <v>6</v>
      </c>
      <c r="R18">
        <v>14</v>
      </c>
      <c r="S18">
        <v>46</v>
      </c>
      <c r="T18">
        <v>1</v>
      </c>
      <c r="U18">
        <v>6</v>
      </c>
      <c r="V18">
        <v>1</v>
      </c>
      <c r="W18">
        <v>1</v>
      </c>
      <c r="X18">
        <v>2</v>
      </c>
      <c r="Y18">
        <v>2</v>
      </c>
      <c r="Z18">
        <v>0</v>
      </c>
      <c r="AA18">
        <v>1</v>
      </c>
      <c r="AB18">
        <v>13</v>
      </c>
      <c r="AC18">
        <v>1</v>
      </c>
      <c r="AD18">
        <v>16</v>
      </c>
      <c r="AE18">
        <v>1</v>
      </c>
      <c r="AF18">
        <v>16</v>
      </c>
      <c r="AG18" t="s">
        <v>141</v>
      </c>
      <c r="AH18">
        <v>11</v>
      </c>
      <c r="AI18">
        <v>18</v>
      </c>
      <c r="AJ18">
        <v>1</v>
      </c>
      <c r="AK18">
        <v>24</v>
      </c>
      <c r="AL18">
        <v>24</v>
      </c>
      <c r="AM18">
        <v>0</v>
      </c>
      <c r="AN18">
        <v>0</v>
      </c>
      <c r="AO18">
        <v>0</v>
      </c>
      <c r="AP18">
        <v>0</v>
      </c>
      <c r="AQ18">
        <v>5</v>
      </c>
      <c r="AR18">
        <v>2</v>
      </c>
      <c r="AS18">
        <v>0</v>
      </c>
      <c r="AT18">
        <v>1</v>
      </c>
      <c r="AU18">
        <v>4</v>
      </c>
      <c r="AV18">
        <v>1</v>
      </c>
      <c r="AW18">
        <v>7</v>
      </c>
      <c r="AX18">
        <v>1</v>
      </c>
      <c r="AY18">
        <v>7</v>
      </c>
      <c r="AZ18" t="s">
        <v>142</v>
      </c>
      <c r="BA18">
        <v>4</v>
      </c>
      <c r="BB18">
        <v>5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3</v>
      </c>
      <c r="BL18">
        <v>4</v>
      </c>
      <c r="BM18">
        <v>3</v>
      </c>
      <c r="BN18">
        <v>71</v>
      </c>
      <c r="BO18">
        <v>0</v>
      </c>
      <c r="BP18">
        <v>0</v>
      </c>
      <c r="BQ18">
        <v>0</v>
      </c>
      <c r="BR18">
        <v>0</v>
      </c>
      <c r="BS18" t="s">
        <v>143</v>
      </c>
      <c r="BT18">
        <v>16</v>
      </c>
      <c r="BU18">
        <v>9</v>
      </c>
      <c r="BV18">
        <v>1</v>
      </c>
      <c r="BW18">
        <v>2</v>
      </c>
      <c r="BX18">
        <v>64</v>
      </c>
      <c r="BY18">
        <v>1</v>
      </c>
      <c r="BZ18">
        <v>1</v>
      </c>
      <c r="CA18">
        <v>0</v>
      </c>
      <c r="CB18">
        <v>0</v>
      </c>
      <c r="CC18">
        <v>7</v>
      </c>
      <c r="CD18">
        <v>3</v>
      </c>
      <c r="CE18">
        <v>2</v>
      </c>
      <c r="CF18">
        <v>1</v>
      </c>
      <c r="CG18">
        <v>6</v>
      </c>
      <c r="CH18">
        <v>1</v>
      </c>
      <c r="CI18">
        <v>12</v>
      </c>
      <c r="CJ18">
        <v>1</v>
      </c>
      <c r="CK18">
        <v>12</v>
      </c>
      <c r="CL18">
        <v>50.46</v>
      </c>
      <c r="CM18">
        <v>50.55</v>
      </c>
      <c r="CN18" t="s">
        <v>97</v>
      </c>
      <c r="CO18" s="17">
        <f t="shared" si="1"/>
        <v>-1.0503369005152585E-2</v>
      </c>
      <c r="CP18" s="17">
        <f t="shared" si="2"/>
        <v>1.7804154302669684E-3</v>
      </c>
      <c r="CR18" s="16">
        <f t="shared" si="3"/>
        <v>50.549839762611271</v>
      </c>
    </row>
    <row r="19" spans="1:96" x14ac:dyDescent="0.25">
      <c r="A19">
        <v>10</v>
      </c>
      <c r="B19" t="s">
        <v>144</v>
      </c>
      <c r="C19">
        <v>9</v>
      </c>
      <c r="D19">
        <v>0</v>
      </c>
      <c r="E19">
        <v>6</v>
      </c>
      <c r="F19">
        <v>0</v>
      </c>
      <c r="G19" t="s">
        <v>92</v>
      </c>
      <c r="H19" t="s">
        <v>92</v>
      </c>
      <c r="I19">
        <v>6</v>
      </c>
      <c r="J19">
        <v>0</v>
      </c>
      <c r="K19" t="s">
        <v>92</v>
      </c>
      <c r="L19" t="s">
        <v>92</v>
      </c>
      <c r="M19">
        <v>55.43</v>
      </c>
      <c r="N19" t="s">
        <v>118</v>
      </c>
      <c r="O19">
        <v>4</v>
      </c>
      <c r="P19">
        <v>8</v>
      </c>
      <c r="Q19">
        <v>15</v>
      </c>
      <c r="R19">
        <v>30</v>
      </c>
      <c r="S19">
        <v>21</v>
      </c>
      <c r="T19">
        <v>0</v>
      </c>
      <c r="U19">
        <v>0</v>
      </c>
      <c r="V19">
        <v>0</v>
      </c>
      <c r="W19">
        <v>0</v>
      </c>
      <c r="X19">
        <v>1</v>
      </c>
      <c r="Y19">
        <v>2</v>
      </c>
      <c r="Z19">
        <v>1</v>
      </c>
      <c r="AA19">
        <v>0</v>
      </c>
      <c r="AB19">
        <v>2</v>
      </c>
      <c r="AC19">
        <v>1</v>
      </c>
      <c r="AD19">
        <v>5</v>
      </c>
      <c r="AE19">
        <v>1</v>
      </c>
      <c r="AF19">
        <v>5</v>
      </c>
      <c r="AG19" t="s">
        <v>145</v>
      </c>
      <c r="AH19">
        <v>31</v>
      </c>
      <c r="AI19">
        <v>29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14</v>
      </c>
      <c r="AR19">
        <v>3</v>
      </c>
      <c r="AS19">
        <v>2</v>
      </c>
      <c r="AT19">
        <v>4</v>
      </c>
      <c r="AU19">
        <v>13</v>
      </c>
      <c r="AV19">
        <v>0</v>
      </c>
      <c r="AW19">
        <v>0</v>
      </c>
      <c r="AX19">
        <v>0</v>
      </c>
      <c r="AY19">
        <v>0</v>
      </c>
      <c r="AZ19" t="s">
        <v>146</v>
      </c>
      <c r="BA19">
        <v>3</v>
      </c>
      <c r="BB19">
        <v>0</v>
      </c>
      <c r="BC19">
        <v>1</v>
      </c>
      <c r="BD19">
        <v>0</v>
      </c>
      <c r="BE19">
        <v>0</v>
      </c>
      <c r="BF19">
        <v>1</v>
      </c>
      <c r="BG19">
        <v>1</v>
      </c>
      <c r="BH19">
        <v>0</v>
      </c>
      <c r="BI19">
        <v>0</v>
      </c>
      <c r="BJ19">
        <v>1</v>
      </c>
      <c r="BK19">
        <v>2</v>
      </c>
      <c r="BL19">
        <v>2</v>
      </c>
      <c r="BM19">
        <v>0</v>
      </c>
      <c r="BN19">
        <v>73</v>
      </c>
      <c r="BO19">
        <v>0</v>
      </c>
      <c r="BP19">
        <v>0</v>
      </c>
      <c r="BQ19">
        <v>0</v>
      </c>
      <c r="BR19">
        <v>0</v>
      </c>
      <c r="BS19" t="s">
        <v>147</v>
      </c>
      <c r="BT19">
        <v>9</v>
      </c>
      <c r="BU19">
        <v>8</v>
      </c>
      <c r="BV19">
        <v>18</v>
      </c>
      <c r="BW19">
        <v>15</v>
      </c>
      <c r="BX19">
        <v>25</v>
      </c>
      <c r="BY19">
        <v>1</v>
      </c>
      <c r="BZ19">
        <v>4</v>
      </c>
      <c r="CA19">
        <v>0</v>
      </c>
      <c r="CB19">
        <v>0</v>
      </c>
      <c r="CC19">
        <v>3</v>
      </c>
      <c r="CD19">
        <v>3</v>
      </c>
      <c r="CE19">
        <v>3</v>
      </c>
      <c r="CF19">
        <v>1</v>
      </c>
      <c r="CG19">
        <v>0</v>
      </c>
      <c r="CH19">
        <v>1</v>
      </c>
      <c r="CI19">
        <v>7</v>
      </c>
      <c r="CJ19">
        <v>1</v>
      </c>
      <c r="CK19">
        <v>7</v>
      </c>
      <c r="CL19">
        <v>55.57</v>
      </c>
      <c r="CM19">
        <v>57.04</v>
      </c>
      <c r="CN19" t="s">
        <v>97</v>
      </c>
      <c r="CO19" s="17">
        <f t="shared" si="1"/>
        <v>2.519344970307702E-3</v>
      </c>
      <c r="CP19" s="17">
        <f t="shared" si="2"/>
        <v>2.577138849929872E-2</v>
      </c>
      <c r="CR19" s="16">
        <f t="shared" si="3"/>
        <v>57.002116058906033</v>
      </c>
    </row>
    <row r="20" spans="1:96" x14ac:dyDescent="0.25">
      <c r="A20">
        <v>11</v>
      </c>
      <c r="B20" t="s">
        <v>148</v>
      </c>
      <c r="C20">
        <v>10</v>
      </c>
      <c r="D20">
        <v>0</v>
      </c>
      <c r="E20">
        <v>6</v>
      </c>
      <c r="F20">
        <v>0</v>
      </c>
      <c r="G20" t="s">
        <v>92</v>
      </c>
      <c r="H20" t="s">
        <v>92</v>
      </c>
      <c r="I20">
        <v>6</v>
      </c>
      <c r="J20">
        <v>0</v>
      </c>
      <c r="K20" t="s">
        <v>92</v>
      </c>
      <c r="L20" t="s">
        <v>92</v>
      </c>
      <c r="M20">
        <v>54.1</v>
      </c>
      <c r="N20" t="s">
        <v>149</v>
      </c>
      <c r="O20">
        <v>0</v>
      </c>
      <c r="P20">
        <v>2</v>
      </c>
      <c r="Q20">
        <v>6</v>
      </c>
      <c r="R20">
        <v>23</v>
      </c>
      <c r="S20">
        <v>66</v>
      </c>
      <c r="T20">
        <v>0</v>
      </c>
      <c r="U20">
        <v>0</v>
      </c>
      <c r="V20">
        <v>0</v>
      </c>
      <c r="W20">
        <v>0</v>
      </c>
      <c r="X20">
        <v>0</v>
      </c>
      <c r="Y20">
        <v>2</v>
      </c>
      <c r="Z20">
        <v>0</v>
      </c>
      <c r="AA20">
        <v>2</v>
      </c>
      <c r="AB20">
        <v>16</v>
      </c>
      <c r="AC20">
        <v>1</v>
      </c>
      <c r="AD20">
        <v>20</v>
      </c>
      <c r="AE20">
        <v>1</v>
      </c>
      <c r="AF20">
        <v>20</v>
      </c>
      <c r="AG20" t="s">
        <v>118</v>
      </c>
      <c r="AH20">
        <v>8</v>
      </c>
      <c r="AI20">
        <v>17</v>
      </c>
      <c r="AJ20">
        <v>12</v>
      </c>
      <c r="AK20">
        <v>5</v>
      </c>
      <c r="AL20">
        <v>64</v>
      </c>
      <c r="AM20">
        <v>0</v>
      </c>
      <c r="AN20">
        <v>0</v>
      </c>
      <c r="AO20">
        <v>0</v>
      </c>
      <c r="AP20">
        <v>0</v>
      </c>
      <c r="AQ20">
        <v>9</v>
      </c>
      <c r="AR20">
        <v>7</v>
      </c>
      <c r="AS20">
        <v>0</v>
      </c>
      <c r="AT20">
        <v>0</v>
      </c>
      <c r="AU20">
        <v>0</v>
      </c>
      <c r="AV20">
        <v>1</v>
      </c>
      <c r="AW20">
        <v>7</v>
      </c>
      <c r="AX20">
        <v>1</v>
      </c>
      <c r="AY20">
        <v>7</v>
      </c>
      <c r="AZ20" t="s">
        <v>150</v>
      </c>
      <c r="BA20">
        <v>33</v>
      </c>
      <c r="BB20">
        <v>33</v>
      </c>
      <c r="BC20">
        <v>12</v>
      </c>
      <c r="BD20">
        <v>5</v>
      </c>
      <c r="BE20">
        <v>1</v>
      </c>
      <c r="BF20">
        <v>2</v>
      </c>
      <c r="BG20">
        <v>18</v>
      </c>
      <c r="BH20">
        <v>1</v>
      </c>
      <c r="BI20">
        <v>1</v>
      </c>
      <c r="BJ20">
        <v>7</v>
      </c>
      <c r="BK20">
        <v>5</v>
      </c>
      <c r="BL20">
        <v>7</v>
      </c>
      <c r="BM20">
        <v>2</v>
      </c>
      <c r="BN20">
        <v>18</v>
      </c>
      <c r="BO20">
        <v>2</v>
      </c>
      <c r="BP20">
        <v>13</v>
      </c>
      <c r="BQ20">
        <v>0</v>
      </c>
      <c r="BR20">
        <v>0</v>
      </c>
      <c r="BS20" t="s">
        <v>151</v>
      </c>
      <c r="BT20">
        <v>3</v>
      </c>
      <c r="BU20">
        <v>9</v>
      </c>
      <c r="BV20">
        <v>8</v>
      </c>
      <c r="BW20">
        <v>0</v>
      </c>
      <c r="BX20">
        <v>0</v>
      </c>
      <c r="BY20">
        <v>1</v>
      </c>
      <c r="BZ20">
        <v>8</v>
      </c>
      <c r="CA20">
        <v>0</v>
      </c>
      <c r="CB20">
        <v>0</v>
      </c>
      <c r="CC20">
        <v>2</v>
      </c>
      <c r="CD20">
        <v>0</v>
      </c>
      <c r="CE20">
        <v>2</v>
      </c>
      <c r="CF20">
        <v>6</v>
      </c>
      <c r="CG20">
        <v>78</v>
      </c>
      <c r="CH20">
        <v>0</v>
      </c>
      <c r="CI20">
        <v>0</v>
      </c>
      <c r="CJ20">
        <v>0</v>
      </c>
      <c r="CK20">
        <v>0</v>
      </c>
      <c r="CL20">
        <v>53.64</v>
      </c>
      <c r="CM20">
        <v>53.94</v>
      </c>
      <c r="CN20" t="s">
        <v>103</v>
      </c>
      <c r="CO20" s="17">
        <f t="shared" si="1"/>
        <v>-8.5756897837434565E-3</v>
      </c>
      <c r="CP20" s="17">
        <f t="shared" si="2"/>
        <v>5.5617352614014681E-3</v>
      </c>
      <c r="CR20" s="16">
        <f t="shared" si="3"/>
        <v>53.938331479421578</v>
      </c>
    </row>
    <row r="21" spans="1:96" x14ac:dyDescent="0.25">
      <c r="A21">
        <v>12</v>
      </c>
      <c r="B21" t="s">
        <v>152</v>
      </c>
      <c r="C21">
        <v>9</v>
      </c>
      <c r="D21">
        <v>1</v>
      </c>
      <c r="E21">
        <v>6</v>
      </c>
      <c r="F21">
        <v>0</v>
      </c>
      <c r="G21" t="s">
        <v>92</v>
      </c>
      <c r="H21" t="s">
        <v>92</v>
      </c>
      <c r="I21">
        <v>6</v>
      </c>
      <c r="J21">
        <v>0</v>
      </c>
      <c r="K21" t="s">
        <v>92</v>
      </c>
      <c r="L21" t="s">
        <v>92</v>
      </c>
      <c r="M21">
        <v>55.21</v>
      </c>
      <c r="N21" t="s">
        <v>153</v>
      </c>
      <c r="O21">
        <v>33</v>
      </c>
      <c r="P21">
        <v>41</v>
      </c>
      <c r="Q21">
        <v>7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 t="s">
        <v>154</v>
      </c>
      <c r="AH21">
        <v>18</v>
      </c>
      <c r="AI21">
        <v>11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13</v>
      </c>
      <c r="AR21">
        <v>10</v>
      </c>
      <c r="AS21">
        <v>16</v>
      </c>
      <c r="AT21">
        <v>8</v>
      </c>
      <c r="AU21">
        <v>13</v>
      </c>
      <c r="AV21">
        <v>0</v>
      </c>
      <c r="AW21">
        <v>0</v>
      </c>
      <c r="AX21">
        <v>0</v>
      </c>
      <c r="AY21">
        <v>0</v>
      </c>
      <c r="AZ21" t="s">
        <v>155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2</v>
      </c>
      <c r="BM21">
        <v>4</v>
      </c>
      <c r="BN21">
        <v>72</v>
      </c>
      <c r="BO21">
        <v>0</v>
      </c>
      <c r="BP21">
        <v>0</v>
      </c>
      <c r="BQ21">
        <v>0</v>
      </c>
      <c r="BR21">
        <v>0</v>
      </c>
      <c r="BS21" t="s">
        <v>156</v>
      </c>
      <c r="BT21">
        <v>65</v>
      </c>
      <c r="BU21">
        <v>9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8</v>
      </c>
      <c r="CD21">
        <v>3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55.26</v>
      </c>
      <c r="CM21">
        <v>55.68</v>
      </c>
      <c r="CN21" t="s">
        <v>103</v>
      </c>
      <c r="CO21" s="17">
        <f t="shared" si="1"/>
        <v>9.0481360839667069E-4</v>
      </c>
      <c r="CP21" s="17">
        <f t="shared" si="2"/>
        <v>7.5431034482759118E-3</v>
      </c>
      <c r="CR21" s="16">
        <f t="shared" si="3"/>
        <v>55.676831896551725</v>
      </c>
    </row>
    <row r="22" spans="1:96" x14ac:dyDescent="0.25">
      <c r="A22">
        <v>13</v>
      </c>
      <c r="B22" t="s">
        <v>157</v>
      </c>
      <c r="C22">
        <v>10</v>
      </c>
      <c r="D22">
        <v>0</v>
      </c>
      <c r="E22">
        <v>6</v>
      </c>
      <c r="F22">
        <v>0</v>
      </c>
      <c r="G22" t="s">
        <v>92</v>
      </c>
      <c r="H22" t="s">
        <v>92</v>
      </c>
      <c r="I22">
        <v>6</v>
      </c>
      <c r="J22">
        <v>0</v>
      </c>
      <c r="K22" t="s">
        <v>92</v>
      </c>
      <c r="L22" t="s">
        <v>92</v>
      </c>
      <c r="M22">
        <v>50.44</v>
      </c>
      <c r="N22" t="s">
        <v>158</v>
      </c>
      <c r="O22">
        <v>15</v>
      </c>
      <c r="P22">
        <v>2</v>
      </c>
      <c r="Q22">
        <v>3</v>
      </c>
      <c r="R22">
        <v>4</v>
      </c>
      <c r="S22">
        <v>109</v>
      </c>
      <c r="T22">
        <v>0</v>
      </c>
      <c r="U22">
        <v>0</v>
      </c>
      <c r="V22">
        <v>0</v>
      </c>
      <c r="W22">
        <v>0</v>
      </c>
      <c r="X22">
        <v>3</v>
      </c>
      <c r="Y22">
        <v>1</v>
      </c>
      <c r="Z22">
        <v>3</v>
      </c>
      <c r="AA22">
        <v>6</v>
      </c>
      <c r="AB22">
        <v>10</v>
      </c>
      <c r="AC22">
        <v>1</v>
      </c>
      <c r="AD22">
        <v>20</v>
      </c>
      <c r="AE22">
        <v>1</v>
      </c>
      <c r="AF22">
        <v>20</v>
      </c>
      <c r="AG22" t="s">
        <v>159</v>
      </c>
      <c r="AH22">
        <v>58</v>
      </c>
      <c r="AI22">
        <v>23</v>
      </c>
      <c r="AJ22">
        <v>26</v>
      </c>
      <c r="AK22">
        <v>12</v>
      </c>
      <c r="AL22">
        <v>12</v>
      </c>
      <c r="AM22">
        <v>1</v>
      </c>
      <c r="AN22">
        <v>50</v>
      </c>
      <c r="AO22">
        <v>1</v>
      </c>
      <c r="AP22">
        <v>12</v>
      </c>
      <c r="AQ22">
        <v>16</v>
      </c>
      <c r="AR22">
        <v>7</v>
      </c>
      <c r="AS22">
        <v>5</v>
      </c>
      <c r="AT22">
        <v>2</v>
      </c>
      <c r="AU22">
        <v>22</v>
      </c>
      <c r="AV22">
        <v>1</v>
      </c>
      <c r="AW22">
        <v>34</v>
      </c>
      <c r="AX22">
        <v>1</v>
      </c>
      <c r="AY22">
        <v>34</v>
      </c>
      <c r="AZ22" t="s">
        <v>160</v>
      </c>
      <c r="BA22">
        <v>10</v>
      </c>
      <c r="BB22">
        <v>1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9</v>
      </c>
      <c r="BK22">
        <v>11</v>
      </c>
      <c r="BL22">
        <v>7</v>
      </c>
      <c r="BM22">
        <v>3</v>
      </c>
      <c r="BN22">
        <v>115</v>
      </c>
      <c r="BO22">
        <v>0</v>
      </c>
      <c r="BP22">
        <v>0</v>
      </c>
      <c r="BQ22">
        <v>0</v>
      </c>
      <c r="BR22">
        <v>0</v>
      </c>
      <c r="BS22" t="s">
        <v>161</v>
      </c>
      <c r="BT22">
        <v>9</v>
      </c>
      <c r="BU22">
        <v>15</v>
      </c>
      <c r="BV22">
        <v>26</v>
      </c>
      <c r="BW22">
        <v>25</v>
      </c>
      <c r="BX22">
        <v>56</v>
      </c>
      <c r="BY22">
        <v>0</v>
      </c>
      <c r="BZ22">
        <v>0</v>
      </c>
      <c r="CA22">
        <v>0</v>
      </c>
      <c r="CB22">
        <v>0</v>
      </c>
      <c r="CC22">
        <v>8</v>
      </c>
      <c r="CD22">
        <v>3</v>
      </c>
      <c r="CE22">
        <v>5</v>
      </c>
      <c r="CF22">
        <v>3</v>
      </c>
      <c r="CG22">
        <v>3</v>
      </c>
      <c r="CH22">
        <v>1</v>
      </c>
      <c r="CI22">
        <v>14</v>
      </c>
      <c r="CJ22">
        <v>1</v>
      </c>
      <c r="CK22">
        <v>14</v>
      </c>
      <c r="CL22">
        <v>50.08</v>
      </c>
      <c r="CM22">
        <v>50.98</v>
      </c>
      <c r="CN22" t="s">
        <v>97</v>
      </c>
      <c r="CO22" s="17">
        <f t="shared" si="1"/>
        <v>-7.1884984025558651E-3</v>
      </c>
      <c r="CP22" s="17">
        <f t="shared" si="2"/>
        <v>1.7653981953707265E-2</v>
      </c>
      <c r="CR22" s="16">
        <f t="shared" si="3"/>
        <v>50.964111416241657</v>
      </c>
    </row>
    <row r="23" spans="1:96" x14ac:dyDescent="0.25">
      <c r="A23">
        <v>14</v>
      </c>
      <c r="B23" t="s">
        <v>162</v>
      </c>
      <c r="C23">
        <v>10</v>
      </c>
      <c r="D23">
        <v>1</v>
      </c>
      <c r="E23">
        <v>6</v>
      </c>
      <c r="F23">
        <v>0</v>
      </c>
      <c r="G23" t="s">
        <v>92</v>
      </c>
      <c r="H23" t="s">
        <v>92</v>
      </c>
      <c r="I23">
        <v>6</v>
      </c>
      <c r="J23">
        <v>0</v>
      </c>
      <c r="K23" t="s">
        <v>92</v>
      </c>
      <c r="L23" t="s">
        <v>92</v>
      </c>
      <c r="M23">
        <v>49.73</v>
      </c>
      <c r="N23" t="s">
        <v>163</v>
      </c>
      <c r="O23">
        <v>17</v>
      </c>
      <c r="P23">
        <v>33</v>
      </c>
      <c r="Q23">
        <v>23</v>
      </c>
      <c r="R23">
        <v>4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 t="s">
        <v>164</v>
      </c>
      <c r="AH23">
        <v>7</v>
      </c>
      <c r="AI23">
        <v>8</v>
      </c>
      <c r="AJ23">
        <v>6</v>
      </c>
      <c r="AK23">
        <v>2</v>
      </c>
      <c r="AL23">
        <v>53</v>
      </c>
      <c r="AM23">
        <v>1</v>
      </c>
      <c r="AN23">
        <v>31</v>
      </c>
      <c r="AO23">
        <v>1</v>
      </c>
      <c r="AP23">
        <v>25</v>
      </c>
      <c r="AQ23">
        <v>4</v>
      </c>
      <c r="AR23">
        <v>0</v>
      </c>
      <c r="AS23">
        <v>2</v>
      </c>
      <c r="AT23">
        <v>1</v>
      </c>
      <c r="AU23">
        <v>4</v>
      </c>
      <c r="AV23">
        <v>2</v>
      </c>
      <c r="AW23">
        <v>7</v>
      </c>
      <c r="AX23">
        <v>2</v>
      </c>
      <c r="AY23">
        <v>7</v>
      </c>
      <c r="AZ23" t="s">
        <v>165</v>
      </c>
      <c r="BA23">
        <v>2</v>
      </c>
      <c r="BB23">
        <v>1</v>
      </c>
      <c r="BC23">
        <v>9</v>
      </c>
      <c r="BD23">
        <v>8</v>
      </c>
      <c r="BE23">
        <v>59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1</v>
      </c>
      <c r="BL23">
        <v>0</v>
      </c>
      <c r="BM23">
        <v>1</v>
      </c>
      <c r="BN23">
        <v>1</v>
      </c>
      <c r="BO23">
        <v>1</v>
      </c>
      <c r="BP23">
        <v>3</v>
      </c>
      <c r="BQ23">
        <v>1</v>
      </c>
      <c r="BR23">
        <v>3</v>
      </c>
      <c r="BS23" t="s">
        <v>166</v>
      </c>
      <c r="BT23">
        <v>11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5</v>
      </c>
      <c r="CD23">
        <v>3</v>
      </c>
      <c r="CE23">
        <v>11</v>
      </c>
      <c r="CF23">
        <v>1</v>
      </c>
      <c r="CG23">
        <v>55</v>
      </c>
      <c r="CH23">
        <v>0</v>
      </c>
      <c r="CI23">
        <v>0</v>
      </c>
      <c r="CJ23">
        <v>0</v>
      </c>
      <c r="CK23">
        <v>0</v>
      </c>
      <c r="CL23">
        <v>49.78</v>
      </c>
      <c r="CM23">
        <v>50</v>
      </c>
      <c r="CN23" t="s">
        <v>97</v>
      </c>
      <c r="CO23" s="17">
        <f t="shared" si="1"/>
        <v>1.0044194455605115E-3</v>
      </c>
      <c r="CP23" s="17">
        <f t="shared" si="2"/>
        <v>4.3999999999999595E-3</v>
      </c>
      <c r="CR23" s="16">
        <f t="shared" si="3"/>
        <v>49.999032</v>
      </c>
    </row>
    <row r="24" spans="1:96" x14ac:dyDescent="0.25">
      <c r="A24">
        <v>15</v>
      </c>
      <c r="B24" t="s">
        <v>167</v>
      </c>
      <c r="C24">
        <v>10</v>
      </c>
      <c r="D24">
        <v>0</v>
      </c>
      <c r="E24">
        <v>6</v>
      </c>
      <c r="F24">
        <v>0</v>
      </c>
      <c r="G24" t="s">
        <v>92</v>
      </c>
      <c r="H24" t="s">
        <v>92</v>
      </c>
      <c r="I24">
        <v>6</v>
      </c>
      <c r="J24">
        <v>0</v>
      </c>
      <c r="K24" t="s">
        <v>92</v>
      </c>
      <c r="L24" t="s">
        <v>92</v>
      </c>
      <c r="M24">
        <v>53.58</v>
      </c>
      <c r="N24" t="s">
        <v>168</v>
      </c>
      <c r="O24">
        <v>3</v>
      </c>
      <c r="P24">
        <v>1</v>
      </c>
      <c r="Q24">
        <v>1</v>
      </c>
      <c r="R24">
        <v>1</v>
      </c>
      <c r="S24">
        <v>0</v>
      </c>
      <c r="T24">
        <v>1</v>
      </c>
      <c r="U24">
        <v>2</v>
      </c>
      <c r="V24">
        <v>0</v>
      </c>
      <c r="W24">
        <v>0</v>
      </c>
      <c r="X24">
        <v>3</v>
      </c>
      <c r="Y24">
        <v>0</v>
      </c>
      <c r="Z24">
        <v>3</v>
      </c>
      <c r="AA24">
        <v>3</v>
      </c>
      <c r="AB24">
        <v>58</v>
      </c>
      <c r="AC24">
        <v>0</v>
      </c>
      <c r="AD24">
        <v>0</v>
      </c>
      <c r="AE24">
        <v>0</v>
      </c>
      <c r="AF24">
        <v>0</v>
      </c>
      <c r="AG24" t="s">
        <v>169</v>
      </c>
      <c r="AH24">
        <v>7</v>
      </c>
      <c r="AI24">
        <v>1</v>
      </c>
      <c r="AJ24">
        <v>4</v>
      </c>
      <c r="AK24">
        <v>6</v>
      </c>
      <c r="AL24">
        <v>60</v>
      </c>
      <c r="AM24">
        <v>0</v>
      </c>
      <c r="AN24">
        <v>0</v>
      </c>
      <c r="AO24">
        <v>0</v>
      </c>
      <c r="AP24">
        <v>0</v>
      </c>
      <c r="AQ24">
        <v>7</v>
      </c>
      <c r="AR24">
        <v>1</v>
      </c>
      <c r="AS24">
        <v>1</v>
      </c>
      <c r="AT24">
        <v>0</v>
      </c>
      <c r="AU24">
        <v>0</v>
      </c>
      <c r="AV24">
        <v>1</v>
      </c>
      <c r="AW24">
        <v>2</v>
      </c>
      <c r="AX24">
        <v>1</v>
      </c>
      <c r="AY24">
        <v>2</v>
      </c>
      <c r="AZ24" t="s">
        <v>170</v>
      </c>
      <c r="BA24">
        <v>20</v>
      </c>
      <c r="BB24">
        <v>5</v>
      </c>
      <c r="BC24">
        <v>1</v>
      </c>
      <c r="BD24">
        <v>0</v>
      </c>
      <c r="BE24">
        <v>0</v>
      </c>
      <c r="BF24">
        <v>1</v>
      </c>
      <c r="BG24">
        <v>1</v>
      </c>
      <c r="BH24">
        <v>0</v>
      </c>
      <c r="BI24">
        <v>0</v>
      </c>
      <c r="BJ24">
        <v>7</v>
      </c>
      <c r="BK24">
        <v>3</v>
      </c>
      <c r="BL24">
        <v>1</v>
      </c>
      <c r="BM24">
        <v>1</v>
      </c>
      <c r="BN24">
        <v>52</v>
      </c>
      <c r="BO24">
        <v>0</v>
      </c>
      <c r="BP24">
        <v>0</v>
      </c>
      <c r="BQ24">
        <v>0</v>
      </c>
      <c r="BR24">
        <v>0</v>
      </c>
      <c r="BS24" t="s">
        <v>171</v>
      </c>
      <c r="BT24">
        <v>2</v>
      </c>
      <c r="BU24">
        <v>1</v>
      </c>
      <c r="BV24">
        <v>1</v>
      </c>
      <c r="BW24">
        <v>0</v>
      </c>
      <c r="BX24">
        <v>0</v>
      </c>
      <c r="BY24">
        <v>1</v>
      </c>
      <c r="BZ24">
        <v>1</v>
      </c>
      <c r="CA24">
        <v>0</v>
      </c>
      <c r="CB24">
        <v>0</v>
      </c>
      <c r="CC24">
        <v>0</v>
      </c>
      <c r="CD24">
        <v>4</v>
      </c>
      <c r="CE24">
        <v>0</v>
      </c>
      <c r="CF24">
        <v>2</v>
      </c>
      <c r="CG24">
        <v>64</v>
      </c>
      <c r="CH24">
        <v>0</v>
      </c>
      <c r="CI24">
        <v>0</v>
      </c>
      <c r="CJ24">
        <v>0</v>
      </c>
      <c r="CK24">
        <v>0</v>
      </c>
      <c r="CL24">
        <v>53.93</v>
      </c>
      <c r="CM24">
        <v>53.93</v>
      </c>
      <c r="CN24" t="s">
        <v>97</v>
      </c>
      <c r="CO24" s="17">
        <f t="shared" si="1"/>
        <v>6.4898943074356286E-3</v>
      </c>
      <c r="CP24" s="17">
        <f t="shared" si="2"/>
        <v>0</v>
      </c>
      <c r="CR24" s="16">
        <f t="shared" si="3"/>
        <v>53.93</v>
      </c>
    </row>
    <row r="25" spans="1:96" x14ac:dyDescent="0.25">
      <c r="A25">
        <v>16</v>
      </c>
      <c r="B25" t="s">
        <v>172</v>
      </c>
      <c r="C25">
        <v>9</v>
      </c>
      <c r="D25">
        <v>0</v>
      </c>
      <c r="E25">
        <v>5</v>
      </c>
      <c r="F25">
        <v>1</v>
      </c>
      <c r="G25" t="s">
        <v>92</v>
      </c>
      <c r="H25" t="s">
        <v>92</v>
      </c>
      <c r="I25">
        <v>6</v>
      </c>
      <c r="J25">
        <v>0</v>
      </c>
      <c r="K25" t="s">
        <v>92</v>
      </c>
      <c r="L25" t="s">
        <v>92</v>
      </c>
      <c r="M25">
        <v>47.83</v>
      </c>
      <c r="N25" t="s">
        <v>173</v>
      </c>
      <c r="O25">
        <v>8</v>
      </c>
      <c r="P25">
        <v>18</v>
      </c>
      <c r="Q25">
        <v>7</v>
      </c>
      <c r="R25">
        <v>1</v>
      </c>
      <c r="S25">
        <v>1</v>
      </c>
      <c r="T25">
        <v>0</v>
      </c>
      <c r="U25">
        <v>0</v>
      </c>
      <c r="V25">
        <v>0</v>
      </c>
      <c r="W25">
        <v>0</v>
      </c>
      <c r="X25">
        <v>1</v>
      </c>
      <c r="Y25">
        <v>0</v>
      </c>
      <c r="Z25">
        <v>1</v>
      </c>
      <c r="AA25">
        <v>0</v>
      </c>
      <c r="AB25">
        <v>1</v>
      </c>
      <c r="AC25">
        <v>1</v>
      </c>
      <c r="AD25">
        <v>2</v>
      </c>
      <c r="AE25">
        <v>1</v>
      </c>
      <c r="AF25">
        <v>0</v>
      </c>
      <c r="AG25" t="s">
        <v>174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45</v>
      </c>
      <c r="AV25">
        <v>0</v>
      </c>
      <c r="AW25">
        <v>0</v>
      </c>
      <c r="AX25">
        <v>0</v>
      </c>
      <c r="AY25">
        <v>0</v>
      </c>
      <c r="AZ25" t="s">
        <v>175</v>
      </c>
      <c r="BA25">
        <v>0</v>
      </c>
      <c r="BB25">
        <v>1</v>
      </c>
      <c r="BC25">
        <v>2</v>
      </c>
      <c r="BD25">
        <v>0</v>
      </c>
      <c r="BE25">
        <v>0</v>
      </c>
      <c r="BF25">
        <v>1</v>
      </c>
      <c r="BG25">
        <v>2</v>
      </c>
      <c r="BH25">
        <v>0</v>
      </c>
      <c r="BI25">
        <v>0</v>
      </c>
      <c r="BJ25">
        <v>3</v>
      </c>
      <c r="BK25">
        <v>0</v>
      </c>
      <c r="BL25">
        <v>0</v>
      </c>
      <c r="BM25">
        <v>0</v>
      </c>
      <c r="BN25">
        <v>43</v>
      </c>
      <c r="BO25">
        <v>0</v>
      </c>
      <c r="BP25">
        <v>0</v>
      </c>
      <c r="BQ25">
        <v>0</v>
      </c>
      <c r="BR25">
        <v>0</v>
      </c>
      <c r="BS25" t="s">
        <v>176</v>
      </c>
      <c r="BT25">
        <v>5</v>
      </c>
      <c r="BU25">
        <v>11</v>
      </c>
      <c r="BV25">
        <v>5</v>
      </c>
      <c r="BW25">
        <v>3</v>
      </c>
      <c r="BX25">
        <v>2</v>
      </c>
      <c r="BY25">
        <v>2</v>
      </c>
      <c r="BZ25">
        <v>10</v>
      </c>
      <c r="CA25">
        <v>1</v>
      </c>
      <c r="CB25">
        <v>2</v>
      </c>
      <c r="CC25">
        <v>8</v>
      </c>
      <c r="CD25">
        <v>1</v>
      </c>
      <c r="CE25">
        <v>4</v>
      </c>
      <c r="CF25">
        <v>1</v>
      </c>
      <c r="CG25">
        <v>13</v>
      </c>
      <c r="CH25">
        <v>2</v>
      </c>
      <c r="CI25">
        <v>9</v>
      </c>
      <c r="CJ25">
        <v>1</v>
      </c>
      <c r="CK25">
        <v>0</v>
      </c>
      <c r="CL25">
        <v>48.2</v>
      </c>
      <c r="CM25">
        <v>49.58</v>
      </c>
      <c r="CN25" t="s">
        <v>103</v>
      </c>
      <c r="CO25" s="17">
        <f t="shared" si="1"/>
        <v>7.6763485477179261E-3</v>
      </c>
      <c r="CP25" s="17">
        <f t="shared" si="2"/>
        <v>2.7833803953206893E-2</v>
      </c>
      <c r="CR25" s="16">
        <f t="shared" si="3"/>
        <v>49.541589350544577</v>
      </c>
    </row>
    <row r="26" spans="1:96" x14ac:dyDescent="0.25">
      <c r="A26">
        <v>17</v>
      </c>
      <c r="B26" t="s">
        <v>177</v>
      </c>
      <c r="C26">
        <v>9</v>
      </c>
      <c r="D26">
        <v>0</v>
      </c>
      <c r="E26">
        <v>6</v>
      </c>
      <c r="F26">
        <v>0</v>
      </c>
      <c r="G26" t="s">
        <v>92</v>
      </c>
      <c r="H26" t="s">
        <v>92</v>
      </c>
      <c r="I26">
        <v>6</v>
      </c>
      <c r="J26">
        <v>0</v>
      </c>
      <c r="K26" t="s">
        <v>92</v>
      </c>
      <c r="L26" t="s">
        <v>92</v>
      </c>
      <c r="M26">
        <v>52.35</v>
      </c>
      <c r="N26" t="s">
        <v>178</v>
      </c>
      <c r="O26">
        <v>21</v>
      </c>
      <c r="P26">
        <v>7</v>
      </c>
      <c r="Q26">
        <v>1</v>
      </c>
      <c r="R26">
        <v>0</v>
      </c>
      <c r="S26">
        <v>0</v>
      </c>
      <c r="T26">
        <v>1</v>
      </c>
      <c r="U26">
        <v>1</v>
      </c>
      <c r="V26">
        <v>0</v>
      </c>
      <c r="W26">
        <v>0</v>
      </c>
      <c r="X26">
        <v>10</v>
      </c>
      <c r="Y26">
        <v>5</v>
      </c>
      <c r="Z26">
        <v>5</v>
      </c>
      <c r="AA26">
        <v>1</v>
      </c>
      <c r="AB26">
        <v>29</v>
      </c>
      <c r="AC26">
        <v>0</v>
      </c>
      <c r="AD26">
        <v>0</v>
      </c>
      <c r="AE26">
        <v>0</v>
      </c>
      <c r="AF26">
        <v>0</v>
      </c>
      <c r="AG26" t="s">
        <v>179</v>
      </c>
      <c r="AH26">
        <v>4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3</v>
      </c>
      <c r="AR26">
        <v>0</v>
      </c>
      <c r="AS26">
        <v>3</v>
      </c>
      <c r="AT26">
        <v>1</v>
      </c>
      <c r="AU26">
        <v>50</v>
      </c>
      <c r="AV26">
        <v>0</v>
      </c>
      <c r="AW26">
        <v>0</v>
      </c>
      <c r="AX26">
        <v>0</v>
      </c>
      <c r="AY26">
        <v>0</v>
      </c>
      <c r="AZ26" t="s">
        <v>180</v>
      </c>
      <c r="BA26">
        <v>1</v>
      </c>
      <c r="BB26">
        <v>4</v>
      </c>
      <c r="BC26">
        <v>12</v>
      </c>
      <c r="BD26">
        <v>19</v>
      </c>
      <c r="BE26">
        <v>21</v>
      </c>
      <c r="BF26">
        <v>0</v>
      </c>
      <c r="BG26">
        <v>0</v>
      </c>
      <c r="BH26">
        <v>0</v>
      </c>
      <c r="BI26">
        <v>0</v>
      </c>
      <c r="BJ26">
        <v>2</v>
      </c>
      <c r="BK26">
        <v>1</v>
      </c>
      <c r="BL26">
        <v>0</v>
      </c>
      <c r="BM26">
        <v>0</v>
      </c>
      <c r="BN26">
        <v>0</v>
      </c>
      <c r="BO26">
        <v>1</v>
      </c>
      <c r="BP26">
        <v>1</v>
      </c>
      <c r="BQ26">
        <v>1</v>
      </c>
      <c r="BR26">
        <v>1</v>
      </c>
      <c r="BS26" t="s">
        <v>181</v>
      </c>
      <c r="BT26">
        <v>2</v>
      </c>
      <c r="BU26">
        <v>1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1</v>
      </c>
      <c r="CE26">
        <v>1</v>
      </c>
      <c r="CF26">
        <v>0</v>
      </c>
      <c r="CG26">
        <v>53</v>
      </c>
      <c r="CH26">
        <v>0</v>
      </c>
      <c r="CI26">
        <v>0</v>
      </c>
      <c r="CJ26">
        <v>0</v>
      </c>
      <c r="CK26">
        <v>0</v>
      </c>
      <c r="CL26">
        <v>52.13</v>
      </c>
      <c r="CM26">
        <v>52.36</v>
      </c>
      <c r="CN26" t="s">
        <v>103</v>
      </c>
      <c r="CO26" s="17">
        <f t="shared" si="1"/>
        <v>-4.2202186840589739E-3</v>
      </c>
      <c r="CP26" s="17">
        <f t="shared" si="2"/>
        <v>4.3926661573719938E-3</v>
      </c>
      <c r="CR26" s="16">
        <f t="shared" si="3"/>
        <v>52.358989686783808</v>
      </c>
    </row>
    <row r="27" spans="1:96" x14ac:dyDescent="0.25">
      <c r="A27">
        <v>18</v>
      </c>
      <c r="B27" t="s">
        <v>182</v>
      </c>
      <c r="C27">
        <v>9</v>
      </c>
      <c r="D27">
        <v>0</v>
      </c>
      <c r="E27">
        <v>5</v>
      </c>
      <c r="F27">
        <v>1</v>
      </c>
      <c r="G27" t="s">
        <v>92</v>
      </c>
      <c r="H27" t="s">
        <v>92</v>
      </c>
      <c r="I27">
        <v>6</v>
      </c>
      <c r="J27">
        <v>0</v>
      </c>
      <c r="K27" t="s">
        <v>92</v>
      </c>
      <c r="L27" t="s">
        <v>92</v>
      </c>
      <c r="M27">
        <v>47.25</v>
      </c>
      <c r="N27" t="s">
        <v>183</v>
      </c>
      <c r="O27">
        <v>9</v>
      </c>
      <c r="P27">
        <v>29</v>
      </c>
      <c r="Q27">
        <v>28</v>
      </c>
      <c r="R27">
        <v>6</v>
      </c>
      <c r="S27">
        <v>0</v>
      </c>
      <c r="T27">
        <v>2</v>
      </c>
      <c r="U27">
        <v>7</v>
      </c>
      <c r="V27">
        <v>0</v>
      </c>
      <c r="W27">
        <v>0</v>
      </c>
      <c r="X27">
        <v>2</v>
      </c>
      <c r="Y27">
        <v>4</v>
      </c>
      <c r="Z27">
        <v>3</v>
      </c>
      <c r="AA27">
        <v>3</v>
      </c>
      <c r="AB27">
        <v>1</v>
      </c>
      <c r="AC27">
        <v>3</v>
      </c>
      <c r="AD27">
        <v>11</v>
      </c>
      <c r="AE27">
        <v>0</v>
      </c>
      <c r="AF27">
        <v>0</v>
      </c>
      <c r="AG27" t="s">
        <v>184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77</v>
      </c>
      <c r="AV27">
        <v>0</v>
      </c>
      <c r="AW27">
        <v>0</v>
      </c>
      <c r="AX27">
        <v>0</v>
      </c>
      <c r="AY27">
        <v>0</v>
      </c>
      <c r="AZ27" t="s">
        <v>185</v>
      </c>
      <c r="BA27">
        <v>3</v>
      </c>
      <c r="BB27">
        <v>11</v>
      </c>
      <c r="BC27">
        <v>23</v>
      </c>
      <c r="BD27">
        <v>33</v>
      </c>
      <c r="BE27">
        <v>5</v>
      </c>
      <c r="BF27">
        <v>1</v>
      </c>
      <c r="BG27">
        <v>8</v>
      </c>
      <c r="BH27">
        <v>0</v>
      </c>
      <c r="BI27">
        <v>0</v>
      </c>
      <c r="BJ27">
        <v>1</v>
      </c>
      <c r="BK27">
        <v>1</v>
      </c>
      <c r="BL27">
        <v>3</v>
      </c>
      <c r="BM27">
        <v>0</v>
      </c>
      <c r="BN27">
        <v>1</v>
      </c>
      <c r="BO27">
        <v>2</v>
      </c>
      <c r="BP27">
        <v>5</v>
      </c>
      <c r="BQ27">
        <v>1</v>
      </c>
      <c r="BR27">
        <v>5</v>
      </c>
      <c r="BS27" t="s">
        <v>186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1</v>
      </c>
      <c r="CF27">
        <v>1</v>
      </c>
      <c r="CG27">
        <v>75</v>
      </c>
      <c r="CH27">
        <v>0</v>
      </c>
      <c r="CI27">
        <v>0</v>
      </c>
      <c r="CJ27">
        <v>0</v>
      </c>
      <c r="CK27">
        <v>0</v>
      </c>
      <c r="CL27">
        <v>47.03</v>
      </c>
      <c r="CM27">
        <v>47.24</v>
      </c>
      <c r="CN27" t="s">
        <v>103</v>
      </c>
      <c r="CO27" s="17">
        <f t="shared" si="1"/>
        <v>-4.6778651924304082E-3</v>
      </c>
      <c r="CP27" s="17">
        <f t="shared" si="2"/>
        <v>4.445385266723112E-3</v>
      </c>
      <c r="CR27" s="16">
        <f t="shared" si="3"/>
        <v>47.239066469093991</v>
      </c>
    </row>
    <row r="28" spans="1:96" x14ac:dyDescent="0.25">
      <c r="A28">
        <v>19</v>
      </c>
      <c r="B28" t="s">
        <v>187</v>
      </c>
      <c r="C28">
        <v>9</v>
      </c>
      <c r="D28">
        <v>0</v>
      </c>
      <c r="E28">
        <v>5</v>
      </c>
      <c r="F28">
        <v>1</v>
      </c>
      <c r="G28" t="s">
        <v>92</v>
      </c>
      <c r="H28" t="s">
        <v>92</v>
      </c>
      <c r="I28">
        <v>5</v>
      </c>
      <c r="J28">
        <v>1</v>
      </c>
      <c r="K28" t="s">
        <v>92</v>
      </c>
      <c r="L28" t="s">
        <v>92</v>
      </c>
      <c r="M28">
        <v>47.86</v>
      </c>
      <c r="N28" t="s">
        <v>188</v>
      </c>
      <c r="O28">
        <v>23</v>
      </c>
      <c r="P28">
        <v>6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11</v>
      </c>
      <c r="Y28">
        <v>13</v>
      </c>
      <c r="Z28">
        <v>15</v>
      </c>
      <c r="AA28">
        <v>6</v>
      </c>
      <c r="AB28">
        <v>7</v>
      </c>
      <c r="AC28">
        <v>0</v>
      </c>
      <c r="AD28">
        <v>0</v>
      </c>
      <c r="AE28">
        <v>0</v>
      </c>
      <c r="AF28">
        <v>0</v>
      </c>
      <c r="AG28" t="s">
        <v>189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73</v>
      </c>
      <c r="AV28">
        <v>0</v>
      </c>
      <c r="AW28">
        <v>0</v>
      </c>
      <c r="AX28">
        <v>0</v>
      </c>
      <c r="AY28">
        <v>0</v>
      </c>
      <c r="AZ28" t="s">
        <v>190</v>
      </c>
      <c r="BA28">
        <v>28</v>
      </c>
      <c r="BB28">
        <v>35</v>
      </c>
      <c r="BC28">
        <v>6</v>
      </c>
      <c r="BD28">
        <v>3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3</v>
      </c>
      <c r="BK28">
        <v>1</v>
      </c>
      <c r="BL28">
        <v>0</v>
      </c>
      <c r="BM28">
        <v>1</v>
      </c>
      <c r="BN28">
        <v>2</v>
      </c>
      <c r="BO28">
        <v>1</v>
      </c>
      <c r="BP28">
        <v>4</v>
      </c>
      <c r="BQ28">
        <v>0</v>
      </c>
      <c r="BR28">
        <v>0</v>
      </c>
      <c r="BS28" t="s">
        <v>191</v>
      </c>
      <c r="BT28">
        <v>23</v>
      </c>
      <c r="BU28">
        <v>12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17</v>
      </c>
      <c r="CD28">
        <v>5</v>
      </c>
      <c r="CE28">
        <v>6</v>
      </c>
      <c r="CF28">
        <v>3</v>
      </c>
      <c r="CG28">
        <v>9</v>
      </c>
      <c r="CH28">
        <v>0</v>
      </c>
      <c r="CI28">
        <v>0</v>
      </c>
      <c r="CJ28">
        <v>0</v>
      </c>
      <c r="CK28">
        <v>0</v>
      </c>
      <c r="CL28">
        <v>47.8</v>
      </c>
      <c r="CM28">
        <v>48.15</v>
      </c>
      <c r="CN28" t="s">
        <v>103</v>
      </c>
      <c r="CO28" s="17">
        <f t="shared" si="1"/>
        <v>-1.255230125523088E-3</v>
      </c>
      <c r="CP28" s="17">
        <f t="shared" si="2"/>
        <v>7.2689511941849139E-3</v>
      </c>
      <c r="CR28" s="16">
        <f t="shared" si="3"/>
        <v>48.147455867082037</v>
      </c>
    </row>
    <row r="29" spans="1:96" x14ac:dyDescent="0.25">
      <c r="A29">
        <v>20</v>
      </c>
      <c r="B29" t="s">
        <v>192</v>
      </c>
      <c r="C29">
        <v>10</v>
      </c>
      <c r="D29">
        <v>0</v>
      </c>
      <c r="E29">
        <v>5</v>
      </c>
      <c r="F29">
        <v>1</v>
      </c>
      <c r="G29" t="s">
        <v>92</v>
      </c>
      <c r="H29" t="s">
        <v>92</v>
      </c>
      <c r="I29">
        <v>5</v>
      </c>
      <c r="J29">
        <v>1</v>
      </c>
      <c r="K29" t="s">
        <v>92</v>
      </c>
      <c r="L29" t="s">
        <v>92</v>
      </c>
      <c r="M29">
        <v>49.24</v>
      </c>
      <c r="N29" t="s">
        <v>193</v>
      </c>
      <c r="O29">
        <v>15</v>
      </c>
      <c r="P29">
        <v>10</v>
      </c>
      <c r="Q29">
        <v>19</v>
      </c>
      <c r="R29">
        <v>9</v>
      </c>
      <c r="S29">
        <v>10</v>
      </c>
      <c r="T29">
        <v>1</v>
      </c>
      <c r="U29">
        <v>14</v>
      </c>
      <c r="V29">
        <v>0</v>
      </c>
      <c r="W29">
        <v>0</v>
      </c>
      <c r="X29">
        <v>3</v>
      </c>
      <c r="Y29">
        <v>2</v>
      </c>
      <c r="Z29">
        <v>0</v>
      </c>
      <c r="AA29">
        <v>0</v>
      </c>
      <c r="AB29">
        <v>1</v>
      </c>
      <c r="AC29">
        <v>2</v>
      </c>
      <c r="AD29">
        <v>3</v>
      </c>
      <c r="AE29">
        <v>1</v>
      </c>
      <c r="AF29">
        <v>3</v>
      </c>
      <c r="AG29" t="s">
        <v>194</v>
      </c>
      <c r="AH29">
        <v>1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63</v>
      </c>
      <c r="AV29">
        <v>0</v>
      </c>
      <c r="AW29">
        <v>0</v>
      </c>
      <c r="AX29">
        <v>0</v>
      </c>
      <c r="AY29">
        <v>0</v>
      </c>
      <c r="AZ29" t="s">
        <v>195</v>
      </c>
      <c r="BA29">
        <v>2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0</v>
      </c>
      <c r="BL29">
        <v>0</v>
      </c>
      <c r="BM29">
        <v>2</v>
      </c>
      <c r="BN29">
        <v>59</v>
      </c>
      <c r="BO29">
        <v>0</v>
      </c>
      <c r="BP29">
        <v>0</v>
      </c>
      <c r="BQ29">
        <v>0</v>
      </c>
      <c r="BR29">
        <v>0</v>
      </c>
      <c r="BS29" t="s">
        <v>196</v>
      </c>
      <c r="BT29">
        <v>6</v>
      </c>
      <c r="BU29">
        <v>2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2</v>
      </c>
      <c r="CD29">
        <v>2</v>
      </c>
      <c r="CE29">
        <v>4</v>
      </c>
      <c r="CF29">
        <v>9</v>
      </c>
      <c r="CG29">
        <v>40</v>
      </c>
      <c r="CH29">
        <v>0</v>
      </c>
      <c r="CI29">
        <v>0</v>
      </c>
      <c r="CJ29">
        <v>0</v>
      </c>
      <c r="CK29">
        <v>0</v>
      </c>
      <c r="CL29">
        <v>49.63</v>
      </c>
      <c r="CM29">
        <v>50.67</v>
      </c>
      <c r="CN29" t="s">
        <v>103</v>
      </c>
      <c r="CO29" s="17">
        <f t="shared" si="1"/>
        <v>7.8581503123110741E-3</v>
      </c>
      <c r="CP29" s="17">
        <f t="shared" si="2"/>
        <v>2.0524965462798472E-2</v>
      </c>
      <c r="CR29" s="16">
        <f t="shared" si="3"/>
        <v>50.648654035918689</v>
      </c>
    </row>
    <row r="30" spans="1:96" x14ac:dyDescent="0.25">
      <c r="A30">
        <v>21</v>
      </c>
      <c r="B30" t="s">
        <v>197</v>
      </c>
      <c r="C30">
        <v>10</v>
      </c>
      <c r="D30">
        <v>0</v>
      </c>
      <c r="E30">
        <v>5</v>
      </c>
      <c r="F30">
        <v>1</v>
      </c>
      <c r="G30" t="s">
        <v>92</v>
      </c>
      <c r="H30" t="s">
        <v>92</v>
      </c>
      <c r="I30">
        <v>5</v>
      </c>
      <c r="J30">
        <v>1</v>
      </c>
      <c r="K30" t="s">
        <v>92</v>
      </c>
      <c r="L30" t="s">
        <v>92</v>
      </c>
      <c r="M30">
        <v>54.44</v>
      </c>
      <c r="N30" t="s">
        <v>198</v>
      </c>
      <c r="O30">
        <v>13</v>
      </c>
      <c r="P30">
        <v>17</v>
      </c>
      <c r="Q30">
        <v>14</v>
      </c>
      <c r="R30">
        <v>3</v>
      </c>
      <c r="S30">
        <v>1</v>
      </c>
      <c r="T30">
        <v>1</v>
      </c>
      <c r="U30">
        <v>14</v>
      </c>
      <c r="V30">
        <v>1</v>
      </c>
      <c r="W30">
        <v>1</v>
      </c>
      <c r="X30">
        <v>13</v>
      </c>
      <c r="Y30">
        <v>3</v>
      </c>
      <c r="Z30">
        <v>2</v>
      </c>
      <c r="AA30">
        <v>0</v>
      </c>
      <c r="AB30">
        <v>2</v>
      </c>
      <c r="AC30">
        <v>2</v>
      </c>
      <c r="AD30">
        <v>2</v>
      </c>
      <c r="AE30">
        <v>1</v>
      </c>
      <c r="AF30">
        <v>0</v>
      </c>
      <c r="AG30" t="s">
        <v>199</v>
      </c>
      <c r="AH30">
        <v>0</v>
      </c>
      <c r="AI30">
        <v>1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58</v>
      </c>
      <c r="AV30">
        <v>0</v>
      </c>
      <c r="AW30">
        <v>0</v>
      </c>
      <c r="AX30">
        <v>0</v>
      </c>
      <c r="AY30">
        <v>0</v>
      </c>
      <c r="AZ30" t="s">
        <v>200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61</v>
      </c>
      <c r="BO30">
        <v>0</v>
      </c>
      <c r="BP30">
        <v>0</v>
      </c>
      <c r="BQ30">
        <v>0</v>
      </c>
      <c r="BR30">
        <v>0</v>
      </c>
      <c r="BS30" t="s">
        <v>201</v>
      </c>
      <c r="BT30">
        <v>13</v>
      </c>
      <c r="BU30">
        <v>5</v>
      </c>
      <c r="BV30">
        <v>4</v>
      </c>
      <c r="BW30">
        <v>0</v>
      </c>
      <c r="BX30">
        <v>0</v>
      </c>
      <c r="BY30">
        <v>2</v>
      </c>
      <c r="BZ30">
        <v>4</v>
      </c>
      <c r="CA30">
        <v>0</v>
      </c>
      <c r="CB30">
        <v>0</v>
      </c>
      <c r="CC30">
        <v>9</v>
      </c>
      <c r="CD30">
        <v>2</v>
      </c>
      <c r="CE30">
        <v>0</v>
      </c>
      <c r="CF30">
        <v>3</v>
      </c>
      <c r="CG30">
        <v>36</v>
      </c>
      <c r="CH30">
        <v>2</v>
      </c>
      <c r="CI30">
        <v>12</v>
      </c>
      <c r="CJ30">
        <v>0</v>
      </c>
      <c r="CK30">
        <v>0</v>
      </c>
      <c r="CL30">
        <v>55.05</v>
      </c>
      <c r="CM30">
        <v>57.39</v>
      </c>
      <c r="CN30" t="s">
        <v>103</v>
      </c>
      <c r="CO30" s="17">
        <f t="shared" si="1"/>
        <v>1.1080835603996309E-2</v>
      </c>
      <c r="CP30" s="17">
        <f t="shared" si="2"/>
        <v>4.0773653946680644E-2</v>
      </c>
      <c r="CR30" s="16">
        <f t="shared" si="3"/>
        <v>57.294589649764767</v>
      </c>
    </row>
    <row r="31" spans="1:96" x14ac:dyDescent="0.25">
      <c r="A31">
        <v>22</v>
      </c>
      <c r="B31" t="s">
        <v>202</v>
      </c>
      <c r="C31">
        <v>9</v>
      </c>
      <c r="D31">
        <v>2</v>
      </c>
      <c r="E31">
        <v>5</v>
      </c>
      <c r="F31">
        <v>1</v>
      </c>
      <c r="G31" t="s">
        <v>92</v>
      </c>
      <c r="H31" t="s">
        <v>92</v>
      </c>
      <c r="I31">
        <v>5</v>
      </c>
      <c r="J31">
        <v>1</v>
      </c>
      <c r="K31" t="s">
        <v>92</v>
      </c>
      <c r="L31" t="s">
        <v>92</v>
      </c>
      <c r="M31">
        <v>46.03</v>
      </c>
      <c r="N31" t="s">
        <v>203</v>
      </c>
      <c r="O31">
        <v>4</v>
      </c>
      <c r="P31">
        <v>22</v>
      </c>
      <c r="Q31">
        <v>12</v>
      </c>
      <c r="R31">
        <v>8</v>
      </c>
      <c r="S31">
        <v>3</v>
      </c>
      <c r="T31">
        <v>1</v>
      </c>
      <c r="U31">
        <v>21</v>
      </c>
      <c r="V31">
        <v>1</v>
      </c>
      <c r="W31">
        <v>3</v>
      </c>
      <c r="X31">
        <v>4</v>
      </c>
      <c r="Y31">
        <v>0</v>
      </c>
      <c r="Z31">
        <v>3</v>
      </c>
      <c r="AA31">
        <v>1</v>
      </c>
      <c r="AB31">
        <v>12</v>
      </c>
      <c r="AC31">
        <v>2</v>
      </c>
      <c r="AD31">
        <v>2</v>
      </c>
      <c r="AE31">
        <v>1</v>
      </c>
      <c r="AF31">
        <v>0</v>
      </c>
      <c r="AG31" t="s">
        <v>204</v>
      </c>
      <c r="AH31">
        <v>0</v>
      </c>
      <c r="AI31">
        <v>0</v>
      </c>
      <c r="AJ31">
        <v>1</v>
      </c>
      <c r="AK31">
        <v>0</v>
      </c>
      <c r="AL31">
        <v>0</v>
      </c>
      <c r="AM31">
        <v>1</v>
      </c>
      <c r="AN31">
        <v>1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70</v>
      </c>
      <c r="AV31">
        <v>0</v>
      </c>
      <c r="AW31">
        <v>0</v>
      </c>
      <c r="AX31">
        <v>0</v>
      </c>
      <c r="AY31">
        <v>0</v>
      </c>
      <c r="AZ31" t="s">
        <v>205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1</v>
      </c>
      <c r="BM31">
        <v>5</v>
      </c>
      <c r="BN31">
        <v>43</v>
      </c>
      <c r="BO31">
        <v>0</v>
      </c>
      <c r="BP31">
        <v>0</v>
      </c>
      <c r="BQ31">
        <v>0</v>
      </c>
      <c r="BR31">
        <v>0</v>
      </c>
      <c r="BS31" t="s">
        <v>206</v>
      </c>
      <c r="BT31">
        <v>10</v>
      </c>
      <c r="BU31">
        <v>6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5</v>
      </c>
      <c r="CD31">
        <v>1</v>
      </c>
      <c r="CE31">
        <v>1</v>
      </c>
      <c r="CF31">
        <v>4</v>
      </c>
      <c r="CG31">
        <v>28</v>
      </c>
      <c r="CH31">
        <v>0</v>
      </c>
      <c r="CI31">
        <v>0</v>
      </c>
      <c r="CJ31">
        <v>0</v>
      </c>
      <c r="CK31">
        <v>0</v>
      </c>
      <c r="CL31">
        <v>46.66</v>
      </c>
      <c r="CM31">
        <v>48.1</v>
      </c>
      <c r="CN31" t="s">
        <v>103</v>
      </c>
      <c r="CO31" s="17">
        <f t="shared" si="1"/>
        <v>1.3501928846978095E-2</v>
      </c>
      <c r="CP31" s="17">
        <f t="shared" si="2"/>
        <v>2.993762993763005E-2</v>
      </c>
      <c r="CR31" s="16">
        <f t="shared" si="3"/>
        <v>48.056889812889814</v>
      </c>
    </row>
    <row r="32" spans="1:96" x14ac:dyDescent="0.25">
      <c r="A32">
        <v>23</v>
      </c>
      <c r="B32" t="s">
        <v>207</v>
      </c>
      <c r="C32">
        <v>9</v>
      </c>
      <c r="D32">
        <v>0</v>
      </c>
      <c r="E32">
        <v>5</v>
      </c>
      <c r="F32">
        <v>1</v>
      </c>
      <c r="G32" t="s">
        <v>92</v>
      </c>
      <c r="H32" t="s">
        <v>92</v>
      </c>
      <c r="I32">
        <v>5</v>
      </c>
      <c r="J32">
        <v>1</v>
      </c>
      <c r="K32" t="s">
        <v>92</v>
      </c>
      <c r="L32" t="s">
        <v>92</v>
      </c>
      <c r="M32">
        <v>49.79</v>
      </c>
      <c r="N32" t="s">
        <v>208</v>
      </c>
      <c r="O32">
        <v>0</v>
      </c>
      <c r="P32">
        <v>6</v>
      </c>
      <c r="Q32">
        <v>41</v>
      </c>
      <c r="R32">
        <v>21</v>
      </c>
      <c r="S32">
        <v>11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209</v>
      </c>
      <c r="AH32">
        <v>0</v>
      </c>
      <c r="AI32">
        <v>1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79</v>
      </c>
      <c r="AV32">
        <v>0</v>
      </c>
      <c r="AW32">
        <v>0</v>
      </c>
      <c r="AX32">
        <v>0</v>
      </c>
      <c r="AY32">
        <v>0</v>
      </c>
      <c r="AZ32" t="s">
        <v>210</v>
      </c>
      <c r="BA32">
        <v>21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14</v>
      </c>
      <c r="BK32">
        <v>9</v>
      </c>
      <c r="BL32">
        <v>7</v>
      </c>
      <c r="BM32">
        <v>3</v>
      </c>
      <c r="BN32">
        <v>38</v>
      </c>
      <c r="BO32">
        <v>0</v>
      </c>
      <c r="BP32">
        <v>0</v>
      </c>
      <c r="BQ32">
        <v>0</v>
      </c>
      <c r="BR32">
        <v>0</v>
      </c>
      <c r="BS32" t="s">
        <v>211</v>
      </c>
      <c r="BT32">
        <v>3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1</v>
      </c>
      <c r="CD32">
        <v>1</v>
      </c>
      <c r="CE32">
        <v>1</v>
      </c>
      <c r="CF32">
        <v>1</v>
      </c>
      <c r="CG32">
        <v>74</v>
      </c>
      <c r="CH32">
        <v>0</v>
      </c>
      <c r="CI32">
        <v>0</v>
      </c>
      <c r="CJ32">
        <v>0</v>
      </c>
      <c r="CK32">
        <v>0</v>
      </c>
      <c r="CL32">
        <v>50.06</v>
      </c>
      <c r="CM32">
        <v>51.43</v>
      </c>
      <c r="CN32" t="s">
        <v>103</v>
      </c>
      <c r="CO32" s="17">
        <f t="shared" si="1"/>
        <v>5.3935277666800063E-3</v>
      </c>
      <c r="CP32" s="17">
        <f t="shared" si="2"/>
        <v>2.6638148940307138E-2</v>
      </c>
      <c r="CR32" s="16">
        <f t="shared" si="3"/>
        <v>51.393505735951777</v>
      </c>
    </row>
    <row r="33" spans="1:96" x14ac:dyDescent="0.25">
      <c r="A33">
        <v>24</v>
      </c>
      <c r="B33" t="s">
        <v>212</v>
      </c>
      <c r="C33">
        <v>9</v>
      </c>
      <c r="D33">
        <v>1</v>
      </c>
      <c r="E33">
        <v>5</v>
      </c>
      <c r="F33">
        <v>1</v>
      </c>
      <c r="G33" t="s">
        <v>92</v>
      </c>
      <c r="H33" t="s">
        <v>92</v>
      </c>
      <c r="I33">
        <v>5</v>
      </c>
      <c r="J33">
        <v>1</v>
      </c>
      <c r="K33" t="s">
        <v>92</v>
      </c>
      <c r="L33" t="s">
        <v>92</v>
      </c>
      <c r="M33">
        <v>49.09</v>
      </c>
      <c r="N33" t="s">
        <v>105</v>
      </c>
      <c r="O33">
        <v>31</v>
      </c>
      <c r="P33">
        <v>14</v>
      </c>
      <c r="Q33">
        <v>16</v>
      </c>
      <c r="R33">
        <v>15</v>
      </c>
      <c r="S33">
        <v>0</v>
      </c>
      <c r="T33">
        <v>0</v>
      </c>
      <c r="U33">
        <v>0</v>
      </c>
      <c r="V33">
        <v>0</v>
      </c>
      <c r="W33">
        <v>0</v>
      </c>
      <c r="X33">
        <v>5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 t="s">
        <v>213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69</v>
      </c>
      <c r="AV33">
        <v>0</v>
      </c>
      <c r="AW33">
        <v>0</v>
      </c>
      <c r="AX33">
        <v>0</v>
      </c>
      <c r="AY33">
        <v>0</v>
      </c>
      <c r="AZ33" t="s">
        <v>214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5</v>
      </c>
      <c r="BM33">
        <v>9</v>
      </c>
      <c r="BN33">
        <v>52</v>
      </c>
      <c r="BO33">
        <v>0</v>
      </c>
      <c r="BP33">
        <v>0</v>
      </c>
      <c r="BQ33">
        <v>0</v>
      </c>
      <c r="BR33">
        <v>0</v>
      </c>
      <c r="BS33" t="s">
        <v>215</v>
      </c>
      <c r="BT33">
        <v>13</v>
      </c>
      <c r="BU33">
        <v>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7</v>
      </c>
      <c r="CD33">
        <v>5</v>
      </c>
      <c r="CE33">
        <v>3</v>
      </c>
      <c r="CF33">
        <v>2</v>
      </c>
      <c r="CG33">
        <v>45</v>
      </c>
      <c r="CH33">
        <v>0</v>
      </c>
      <c r="CI33">
        <v>0</v>
      </c>
      <c r="CJ33">
        <v>0</v>
      </c>
      <c r="CK33">
        <v>0</v>
      </c>
      <c r="CL33">
        <v>49.47</v>
      </c>
      <c r="CM33">
        <v>51.24</v>
      </c>
      <c r="CN33" t="s">
        <v>103</v>
      </c>
      <c r="CO33" s="17">
        <f t="shared" si="1"/>
        <v>7.6814230846976583E-3</v>
      </c>
      <c r="CP33" s="17">
        <f t="shared" si="2"/>
        <v>3.4543325526932178E-2</v>
      </c>
      <c r="CR33" s="16">
        <f t="shared" si="3"/>
        <v>51.178858313817337</v>
      </c>
    </row>
    <row r="34" spans="1:96" x14ac:dyDescent="0.25">
      <c r="A34">
        <v>25</v>
      </c>
      <c r="B34" t="s">
        <v>216</v>
      </c>
      <c r="C34">
        <v>10</v>
      </c>
      <c r="D34">
        <v>0</v>
      </c>
      <c r="E34">
        <v>5</v>
      </c>
      <c r="F34">
        <v>1</v>
      </c>
      <c r="G34" t="s">
        <v>92</v>
      </c>
      <c r="H34" t="s">
        <v>92</v>
      </c>
      <c r="I34">
        <v>5</v>
      </c>
      <c r="J34">
        <v>1</v>
      </c>
      <c r="K34" t="s">
        <v>92</v>
      </c>
      <c r="L34" t="s">
        <v>92</v>
      </c>
      <c r="M34">
        <v>48.34</v>
      </c>
      <c r="N34" t="s">
        <v>130</v>
      </c>
      <c r="O34">
        <v>25</v>
      </c>
      <c r="P34">
        <v>35</v>
      </c>
      <c r="Q34">
        <v>5</v>
      </c>
      <c r="R34">
        <v>2</v>
      </c>
      <c r="S34">
        <v>1</v>
      </c>
      <c r="T34">
        <v>2</v>
      </c>
      <c r="U34">
        <v>7</v>
      </c>
      <c r="V34">
        <v>1</v>
      </c>
      <c r="W34">
        <v>1</v>
      </c>
      <c r="X34">
        <v>6</v>
      </c>
      <c r="Y34">
        <v>1</v>
      </c>
      <c r="Z34">
        <v>1</v>
      </c>
      <c r="AA34">
        <v>4</v>
      </c>
      <c r="AB34">
        <v>2</v>
      </c>
      <c r="AC34">
        <v>3</v>
      </c>
      <c r="AD34">
        <v>2</v>
      </c>
      <c r="AE34">
        <v>1</v>
      </c>
      <c r="AF34">
        <v>0</v>
      </c>
      <c r="AG34" t="s">
        <v>217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77</v>
      </c>
      <c r="AV34">
        <v>0</v>
      </c>
      <c r="AW34">
        <v>0</v>
      </c>
      <c r="AX34">
        <v>0</v>
      </c>
      <c r="AY34">
        <v>0</v>
      </c>
      <c r="AZ34" t="s">
        <v>218</v>
      </c>
      <c r="BA34">
        <v>19</v>
      </c>
      <c r="BB34">
        <v>7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6</v>
      </c>
      <c r="BK34">
        <v>6</v>
      </c>
      <c r="BL34">
        <v>4</v>
      </c>
      <c r="BM34">
        <v>4</v>
      </c>
      <c r="BN34">
        <v>19</v>
      </c>
      <c r="BO34">
        <v>0</v>
      </c>
      <c r="BP34">
        <v>0</v>
      </c>
      <c r="BQ34">
        <v>0</v>
      </c>
      <c r="BR34">
        <v>0</v>
      </c>
      <c r="BS34" t="s">
        <v>219</v>
      </c>
      <c r="BT34">
        <v>4</v>
      </c>
      <c r="BU34">
        <v>1</v>
      </c>
      <c r="BV34">
        <v>0</v>
      </c>
      <c r="BW34">
        <v>1</v>
      </c>
      <c r="BX34">
        <v>0</v>
      </c>
      <c r="BY34">
        <v>1</v>
      </c>
      <c r="BZ34">
        <v>1</v>
      </c>
      <c r="CA34">
        <v>0</v>
      </c>
      <c r="CB34">
        <v>0</v>
      </c>
      <c r="CC34">
        <v>2</v>
      </c>
      <c r="CD34">
        <v>3</v>
      </c>
      <c r="CE34">
        <v>8</v>
      </c>
      <c r="CF34">
        <v>1</v>
      </c>
      <c r="CG34">
        <v>54</v>
      </c>
      <c r="CH34">
        <v>0</v>
      </c>
      <c r="CI34">
        <v>0</v>
      </c>
      <c r="CJ34">
        <v>0</v>
      </c>
      <c r="CK34">
        <v>0</v>
      </c>
      <c r="CL34">
        <v>48.76</v>
      </c>
      <c r="CM34">
        <v>50.37</v>
      </c>
      <c r="CN34" t="s">
        <v>103</v>
      </c>
      <c r="CO34" s="17">
        <f t="shared" si="1"/>
        <v>8.6136177194420238E-3</v>
      </c>
      <c r="CP34" s="17">
        <f t="shared" si="2"/>
        <v>3.1963470319634646E-2</v>
      </c>
      <c r="CR34" s="16">
        <f t="shared" si="3"/>
        <v>50.318538812785384</v>
      </c>
    </row>
    <row r="35" spans="1:96" x14ac:dyDescent="0.25">
      <c r="A35">
        <v>26</v>
      </c>
      <c r="B35" t="s">
        <v>220</v>
      </c>
      <c r="C35">
        <v>10</v>
      </c>
      <c r="D35">
        <v>1</v>
      </c>
      <c r="E35">
        <v>5</v>
      </c>
      <c r="F35">
        <v>1</v>
      </c>
      <c r="G35" t="s">
        <v>92</v>
      </c>
      <c r="H35" t="s">
        <v>92</v>
      </c>
      <c r="I35">
        <v>5</v>
      </c>
      <c r="J35">
        <v>1</v>
      </c>
      <c r="K35" t="s">
        <v>92</v>
      </c>
      <c r="L35" t="s">
        <v>92</v>
      </c>
      <c r="M35">
        <v>51.83</v>
      </c>
      <c r="N35" t="s">
        <v>221</v>
      </c>
      <c r="O35">
        <v>21</v>
      </c>
      <c r="P35">
        <v>35</v>
      </c>
      <c r="Q35">
        <v>16</v>
      </c>
      <c r="R35">
        <v>3</v>
      </c>
      <c r="S35">
        <v>1</v>
      </c>
      <c r="T35">
        <v>0</v>
      </c>
      <c r="U35">
        <v>0</v>
      </c>
      <c r="V35">
        <v>0</v>
      </c>
      <c r="W35">
        <v>0</v>
      </c>
      <c r="X35">
        <v>5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 t="s">
        <v>222</v>
      </c>
      <c r="AH35">
        <v>1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75</v>
      </c>
      <c r="AV35">
        <v>0</v>
      </c>
      <c r="AW35">
        <v>0</v>
      </c>
      <c r="AX35">
        <v>0</v>
      </c>
      <c r="AY35">
        <v>0</v>
      </c>
      <c r="AZ35" t="s">
        <v>223</v>
      </c>
      <c r="BA35">
        <v>20</v>
      </c>
      <c r="BB35">
        <v>27</v>
      </c>
      <c r="BC35">
        <v>3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6</v>
      </c>
      <c r="BK35">
        <v>1</v>
      </c>
      <c r="BL35">
        <v>1</v>
      </c>
      <c r="BM35">
        <v>0</v>
      </c>
      <c r="BN35">
        <v>21</v>
      </c>
      <c r="BO35">
        <v>1</v>
      </c>
      <c r="BP35">
        <v>0</v>
      </c>
      <c r="BQ35">
        <v>0</v>
      </c>
      <c r="BR35">
        <v>0</v>
      </c>
      <c r="BS35" t="s">
        <v>211</v>
      </c>
      <c r="BT35">
        <v>28</v>
      </c>
      <c r="BU35">
        <v>13</v>
      </c>
      <c r="BV35">
        <v>7</v>
      </c>
      <c r="BW35">
        <v>1</v>
      </c>
      <c r="BX35">
        <v>0</v>
      </c>
      <c r="BY35">
        <v>1</v>
      </c>
      <c r="BZ35">
        <v>8</v>
      </c>
      <c r="CA35">
        <v>0</v>
      </c>
      <c r="CB35">
        <v>0</v>
      </c>
      <c r="CC35">
        <v>3</v>
      </c>
      <c r="CD35">
        <v>4</v>
      </c>
      <c r="CE35">
        <v>0</v>
      </c>
      <c r="CF35">
        <v>1</v>
      </c>
      <c r="CG35">
        <v>33</v>
      </c>
      <c r="CH35">
        <v>1</v>
      </c>
      <c r="CI35">
        <v>16</v>
      </c>
      <c r="CJ35">
        <v>0</v>
      </c>
      <c r="CK35">
        <v>0</v>
      </c>
      <c r="CL35">
        <v>52.22</v>
      </c>
      <c r="CM35">
        <v>54.03</v>
      </c>
      <c r="CN35" t="s">
        <v>103</v>
      </c>
      <c r="CO35" s="17">
        <f t="shared" si="1"/>
        <v>7.4684029107621175E-3</v>
      </c>
      <c r="CP35" s="17">
        <f t="shared" si="2"/>
        <v>3.3499907458819256E-2</v>
      </c>
      <c r="CR35" s="16">
        <f t="shared" si="3"/>
        <v>53.969365167499539</v>
      </c>
    </row>
    <row r="36" spans="1:96" x14ac:dyDescent="0.25">
      <c r="A36">
        <v>27</v>
      </c>
      <c r="B36" t="s">
        <v>224</v>
      </c>
      <c r="C36">
        <v>10</v>
      </c>
      <c r="D36">
        <v>0</v>
      </c>
      <c r="E36">
        <v>5</v>
      </c>
      <c r="F36">
        <v>1</v>
      </c>
      <c r="G36" t="s">
        <v>92</v>
      </c>
      <c r="H36" t="s">
        <v>92</v>
      </c>
      <c r="I36">
        <v>5</v>
      </c>
      <c r="J36">
        <v>1</v>
      </c>
      <c r="K36" t="s">
        <v>92</v>
      </c>
      <c r="L36" t="s">
        <v>92</v>
      </c>
      <c r="M36">
        <v>45.81</v>
      </c>
      <c r="N36" t="s">
        <v>225</v>
      </c>
      <c r="O36">
        <v>0</v>
      </c>
      <c r="P36">
        <v>1</v>
      </c>
      <c r="Q36">
        <v>3</v>
      </c>
      <c r="R36">
        <v>12</v>
      </c>
      <c r="S36">
        <v>20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 t="s">
        <v>226</v>
      </c>
      <c r="AH36">
        <v>1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1</v>
      </c>
      <c r="AR36">
        <v>0</v>
      </c>
      <c r="AS36">
        <v>0</v>
      </c>
      <c r="AT36">
        <v>0</v>
      </c>
      <c r="AU36">
        <v>23</v>
      </c>
      <c r="AV36">
        <v>0</v>
      </c>
      <c r="AW36">
        <v>0</v>
      </c>
      <c r="AX36">
        <v>0</v>
      </c>
      <c r="AY36">
        <v>0</v>
      </c>
      <c r="AZ36" t="s">
        <v>227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33</v>
      </c>
      <c r="BO36">
        <v>0</v>
      </c>
      <c r="BP36">
        <v>0</v>
      </c>
      <c r="BQ36">
        <v>0</v>
      </c>
      <c r="BR36">
        <v>0</v>
      </c>
      <c r="BS36" t="s">
        <v>228</v>
      </c>
      <c r="BT36">
        <v>9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10</v>
      </c>
      <c r="CD36">
        <v>8</v>
      </c>
      <c r="CE36">
        <v>7</v>
      </c>
      <c r="CF36">
        <v>3</v>
      </c>
      <c r="CG36">
        <v>9</v>
      </c>
      <c r="CH36">
        <v>0</v>
      </c>
      <c r="CI36">
        <v>0</v>
      </c>
      <c r="CJ36">
        <v>0</v>
      </c>
      <c r="CK36">
        <v>0</v>
      </c>
      <c r="CL36">
        <v>46</v>
      </c>
      <c r="CM36">
        <v>47.35</v>
      </c>
      <c r="CN36" t="s">
        <v>103</v>
      </c>
      <c r="CO36" s="17">
        <f t="shared" si="1"/>
        <v>4.1304347826086607E-3</v>
      </c>
      <c r="CP36" s="17">
        <f t="shared" si="2"/>
        <v>2.8511087645195388E-2</v>
      </c>
      <c r="CR36" s="16">
        <f t="shared" si="3"/>
        <v>47.311510031678985</v>
      </c>
    </row>
    <row r="37" spans="1:96" x14ac:dyDescent="0.25">
      <c r="A37">
        <v>28</v>
      </c>
      <c r="B37" t="s">
        <v>229</v>
      </c>
      <c r="C37">
        <v>9</v>
      </c>
      <c r="D37">
        <v>0</v>
      </c>
      <c r="E37">
        <v>6</v>
      </c>
      <c r="F37">
        <v>0</v>
      </c>
      <c r="G37" t="s">
        <v>92</v>
      </c>
      <c r="H37" t="s">
        <v>92</v>
      </c>
      <c r="I37">
        <v>6</v>
      </c>
      <c r="J37">
        <v>0</v>
      </c>
      <c r="K37" t="s">
        <v>92</v>
      </c>
      <c r="L37" t="s">
        <v>92</v>
      </c>
      <c r="M37">
        <v>48.87</v>
      </c>
      <c r="N37" t="s">
        <v>230</v>
      </c>
      <c r="O37">
        <v>28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24</v>
      </c>
      <c r="Y37">
        <v>18</v>
      </c>
      <c r="Z37">
        <v>9</v>
      </c>
      <c r="AA37">
        <v>3</v>
      </c>
      <c r="AB37">
        <v>10</v>
      </c>
      <c r="AC37">
        <v>0</v>
      </c>
      <c r="AD37">
        <v>0</v>
      </c>
      <c r="AE37">
        <v>0</v>
      </c>
      <c r="AF37">
        <v>0</v>
      </c>
      <c r="AG37" t="s">
        <v>113</v>
      </c>
      <c r="AH37">
        <v>13</v>
      </c>
      <c r="AI37">
        <v>20</v>
      </c>
      <c r="AJ37">
        <v>11</v>
      </c>
      <c r="AK37">
        <v>19</v>
      </c>
      <c r="AL37">
        <v>9</v>
      </c>
      <c r="AM37">
        <v>0</v>
      </c>
      <c r="AN37">
        <v>0</v>
      </c>
      <c r="AO37">
        <v>0</v>
      </c>
      <c r="AP37">
        <v>0</v>
      </c>
      <c r="AQ37">
        <v>5</v>
      </c>
      <c r="AR37">
        <v>3</v>
      </c>
      <c r="AS37">
        <v>3</v>
      </c>
      <c r="AT37">
        <v>2</v>
      </c>
      <c r="AU37">
        <v>2</v>
      </c>
      <c r="AV37">
        <v>1</v>
      </c>
      <c r="AW37">
        <v>10</v>
      </c>
      <c r="AX37">
        <v>1</v>
      </c>
      <c r="AY37">
        <v>10</v>
      </c>
      <c r="AZ37" t="s">
        <v>107</v>
      </c>
      <c r="BA37">
        <v>20</v>
      </c>
      <c r="BB37">
        <v>52</v>
      </c>
      <c r="BC37">
        <v>7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2</v>
      </c>
      <c r="BK37">
        <v>2</v>
      </c>
      <c r="BL37">
        <v>1</v>
      </c>
      <c r="BM37">
        <v>1</v>
      </c>
      <c r="BN37">
        <v>0</v>
      </c>
      <c r="BO37">
        <v>1</v>
      </c>
      <c r="BP37">
        <v>4</v>
      </c>
      <c r="BQ37">
        <v>0</v>
      </c>
      <c r="BR37">
        <v>0</v>
      </c>
      <c r="BS37" t="s">
        <v>186</v>
      </c>
      <c r="BT37">
        <v>1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1</v>
      </c>
      <c r="CF37">
        <v>2</v>
      </c>
      <c r="CG37">
        <v>76</v>
      </c>
      <c r="CH37">
        <v>0</v>
      </c>
      <c r="CI37">
        <v>0</v>
      </c>
      <c r="CJ37">
        <v>0</v>
      </c>
      <c r="CK37">
        <v>0</v>
      </c>
      <c r="CL37">
        <v>48.45</v>
      </c>
      <c r="CM37">
        <v>49.05</v>
      </c>
      <c r="CN37" t="s">
        <v>103</v>
      </c>
      <c r="CO37" s="17">
        <f t="shared" si="1"/>
        <v>-8.6687306501547212E-3</v>
      </c>
      <c r="CP37" s="17">
        <f t="shared" si="2"/>
        <v>1.2232415902140525E-2</v>
      </c>
      <c r="CR37" s="16">
        <f t="shared" si="3"/>
        <v>49.042660550458713</v>
      </c>
    </row>
    <row r="38" spans="1:96" x14ac:dyDescent="0.25">
      <c r="A38">
        <v>29</v>
      </c>
      <c r="B38" t="s">
        <v>231</v>
      </c>
      <c r="C38">
        <v>9</v>
      </c>
      <c r="D38">
        <v>0</v>
      </c>
      <c r="E38">
        <v>6</v>
      </c>
      <c r="F38">
        <v>0</v>
      </c>
      <c r="G38" t="s">
        <v>92</v>
      </c>
      <c r="H38" t="s">
        <v>92</v>
      </c>
      <c r="I38">
        <v>6</v>
      </c>
      <c r="J38">
        <v>0</v>
      </c>
      <c r="K38" t="s">
        <v>92</v>
      </c>
      <c r="L38" t="s">
        <v>92</v>
      </c>
      <c r="M38">
        <v>61.03</v>
      </c>
      <c r="N38" t="s">
        <v>232</v>
      </c>
      <c r="O38">
        <v>4</v>
      </c>
      <c r="P38">
        <v>2</v>
      </c>
      <c r="Q38">
        <v>0</v>
      </c>
      <c r="R38">
        <v>1</v>
      </c>
      <c r="S38">
        <v>95</v>
      </c>
      <c r="T38">
        <v>1</v>
      </c>
      <c r="U38">
        <v>1</v>
      </c>
      <c r="V38">
        <v>1</v>
      </c>
      <c r="W38">
        <v>1</v>
      </c>
      <c r="X38">
        <v>6</v>
      </c>
      <c r="Y38">
        <v>1</v>
      </c>
      <c r="Z38">
        <v>1</v>
      </c>
      <c r="AA38">
        <v>2</v>
      </c>
      <c r="AB38">
        <v>11</v>
      </c>
      <c r="AC38">
        <v>2</v>
      </c>
      <c r="AD38">
        <v>15</v>
      </c>
      <c r="AE38">
        <v>2</v>
      </c>
      <c r="AF38">
        <v>15</v>
      </c>
      <c r="AG38" t="s">
        <v>185</v>
      </c>
      <c r="AH38">
        <v>17</v>
      </c>
      <c r="AI38">
        <v>13</v>
      </c>
      <c r="AJ38">
        <v>12</v>
      </c>
      <c r="AK38">
        <v>15</v>
      </c>
      <c r="AL38">
        <v>80</v>
      </c>
      <c r="AM38">
        <v>4</v>
      </c>
      <c r="AN38">
        <v>107</v>
      </c>
      <c r="AO38">
        <v>3</v>
      </c>
      <c r="AP38">
        <v>80</v>
      </c>
      <c r="AQ38">
        <v>4</v>
      </c>
      <c r="AR38">
        <v>3</v>
      </c>
      <c r="AS38">
        <v>1</v>
      </c>
      <c r="AT38">
        <v>2</v>
      </c>
      <c r="AU38">
        <v>0</v>
      </c>
      <c r="AV38">
        <v>4</v>
      </c>
      <c r="AW38">
        <v>5</v>
      </c>
      <c r="AX38">
        <v>3</v>
      </c>
      <c r="AY38">
        <v>4</v>
      </c>
      <c r="AZ38" t="s">
        <v>233</v>
      </c>
      <c r="BA38">
        <v>0</v>
      </c>
      <c r="BB38">
        <v>1</v>
      </c>
      <c r="BC38">
        <v>2</v>
      </c>
      <c r="BD38">
        <v>4</v>
      </c>
      <c r="BE38">
        <v>8</v>
      </c>
      <c r="BF38">
        <v>1</v>
      </c>
      <c r="BG38">
        <v>14</v>
      </c>
      <c r="BH38">
        <v>1</v>
      </c>
      <c r="BI38">
        <v>8</v>
      </c>
      <c r="BJ38">
        <v>0</v>
      </c>
      <c r="BK38">
        <v>0</v>
      </c>
      <c r="BL38">
        <v>0</v>
      </c>
      <c r="BM38">
        <v>0</v>
      </c>
      <c r="BN38">
        <v>89</v>
      </c>
      <c r="BO38">
        <v>0</v>
      </c>
      <c r="BP38">
        <v>0</v>
      </c>
      <c r="BQ38">
        <v>0</v>
      </c>
      <c r="BR38">
        <v>0</v>
      </c>
      <c r="BS38" t="s">
        <v>234</v>
      </c>
      <c r="BT38">
        <v>4</v>
      </c>
      <c r="BU38">
        <v>9</v>
      </c>
      <c r="BV38">
        <v>17</v>
      </c>
      <c r="BW38">
        <v>27</v>
      </c>
      <c r="BX38">
        <v>41</v>
      </c>
      <c r="BY38">
        <v>2</v>
      </c>
      <c r="BZ38">
        <v>2</v>
      </c>
      <c r="CA38">
        <v>0</v>
      </c>
      <c r="CB38">
        <v>0</v>
      </c>
      <c r="CC38">
        <v>4</v>
      </c>
      <c r="CD38">
        <v>0</v>
      </c>
      <c r="CE38">
        <v>0</v>
      </c>
      <c r="CF38">
        <v>0</v>
      </c>
      <c r="CG38">
        <v>12</v>
      </c>
      <c r="CH38">
        <v>3</v>
      </c>
      <c r="CI38">
        <v>12</v>
      </c>
      <c r="CJ38">
        <v>1</v>
      </c>
      <c r="CK38">
        <v>12</v>
      </c>
      <c r="CL38">
        <v>60.56</v>
      </c>
      <c r="CM38">
        <v>62.6</v>
      </c>
      <c r="CN38" t="s">
        <v>103</v>
      </c>
      <c r="CO38" s="17">
        <f t="shared" si="1"/>
        <v>-7.7608982826948836E-3</v>
      </c>
      <c r="CP38" s="17">
        <f t="shared" si="2"/>
        <v>3.2587859424920151E-2</v>
      </c>
      <c r="CR38" s="16">
        <f t="shared" si="3"/>
        <v>62.533520766773165</v>
      </c>
    </row>
    <row r="39" spans="1:96" x14ac:dyDescent="0.25">
      <c r="A39">
        <v>30</v>
      </c>
      <c r="B39" t="s">
        <v>235</v>
      </c>
      <c r="C39">
        <v>9</v>
      </c>
      <c r="D39">
        <v>0</v>
      </c>
      <c r="E39">
        <v>6</v>
      </c>
      <c r="F39">
        <v>0</v>
      </c>
      <c r="G39" t="s">
        <v>92</v>
      </c>
      <c r="H39" t="s">
        <v>92</v>
      </c>
      <c r="I39">
        <v>6</v>
      </c>
      <c r="J39">
        <v>0</v>
      </c>
      <c r="K39" t="s">
        <v>92</v>
      </c>
      <c r="L39" t="s">
        <v>92</v>
      </c>
      <c r="M39">
        <v>51.71</v>
      </c>
      <c r="N39" t="s">
        <v>236</v>
      </c>
      <c r="O39">
        <v>12</v>
      </c>
      <c r="P39">
        <v>21</v>
      </c>
      <c r="Q39">
        <v>14</v>
      </c>
      <c r="R39">
        <v>8</v>
      </c>
      <c r="S39">
        <v>20</v>
      </c>
      <c r="T39">
        <v>0</v>
      </c>
      <c r="U39">
        <v>0</v>
      </c>
      <c r="V39">
        <v>0</v>
      </c>
      <c r="W39">
        <v>0</v>
      </c>
      <c r="X39">
        <v>4</v>
      </c>
      <c r="Y39">
        <v>3</v>
      </c>
      <c r="Z39">
        <v>0</v>
      </c>
      <c r="AA39">
        <v>1</v>
      </c>
      <c r="AB39">
        <v>3</v>
      </c>
      <c r="AC39">
        <v>1</v>
      </c>
      <c r="AD39">
        <v>7</v>
      </c>
      <c r="AE39">
        <v>1</v>
      </c>
      <c r="AF39">
        <v>7</v>
      </c>
      <c r="AG39" t="s">
        <v>237</v>
      </c>
      <c r="AH39">
        <v>0</v>
      </c>
      <c r="AI39">
        <v>0</v>
      </c>
      <c r="AJ39">
        <v>16</v>
      </c>
      <c r="AK39">
        <v>5</v>
      </c>
      <c r="AL39">
        <v>58</v>
      </c>
      <c r="AM39">
        <v>0</v>
      </c>
      <c r="AN39">
        <v>0</v>
      </c>
      <c r="AO39">
        <v>0</v>
      </c>
      <c r="AP39">
        <v>0</v>
      </c>
      <c r="AQ39">
        <v>1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 t="s">
        <v>238</v>
      </c>
      <c r="BA39">
        <v>46</v>
      </c>
      <c r="BB39">
        <v>28</v>
      </c>
      <c r="BC39">
        <v>6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2</v>
      </c>
      <c r="BK39">
        <v>0</v>
      </c>
      <c r="BL39">
        <v>0</v>
      </c>
      <c r="BM39">
        <v>1</v>
      </c>
      <c r="BN39">
        <v>0</v>
      </c>
      <c r="BO39">
        <v>1</v>
      </c>
      <c r="BP39">
        <v>0</v>
      </c>
      <c r="BQ39">
        <v>0</v>
      </c>
      <c r="BR39">
        <v>0</v>
      </c>
      <c r="BS39" t="s">
        <v>239</v>
      </c>
      <c r="BT39">
        <v>4</v>
      </c>
      <c r="BU39">
        <v>2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1</v>
      </c>
      <c r="CD39">
        <v>2</v>
      </c>
      <c r="CE39">
        <v>0</v>
      </c>
      <c r="CF39">
        <v>1</v>
      </c>
      <c r="CG39">
        <v>77</v>
      </c>
      <c r="CH39">
        <v>0</v>
      </c>
      <c r="CI39">
        <v>0</v>
      </c>
      <c r="CJ39">
        <v>0</v>
      </c>
      <c r="CK39">
        <v>0</v>
      </c>
      <c r="CL39">
        <v>51.7</v>
      </c>
      <c r="CM39">
        <v>52.15</v>
      </c>
      <c r="CN39" t="s">
        <v>103</v>
      </c>
      <c r="CO39" s="17">
        <f t="shared" si="1"/>
        <v>-1.9342359767882122E-4</v>
      </c>
      <c r="CP39" s="17">
        <f t="shared" si="2"/>
        <v>8.6289549376796781E-3</v>
      </c>
      <c r="CR39" s="16">
        <f t="shared" si="3"/>
        <v>52.146116970278044</v>
      </c>
    </row>
    <row r="40" spans="1:96" x14ac:dyDescent="0.25">
      <c r="A40">
        <v>31</v>
      </c>
      <c r="B40" t="s">
        <v>240</v>
      </c>
      <c r="C40">
        <v>9</v>
      </c>
      <c r="D40">
        <v>1</v>
      </c>
      <c r="E40">
        <v>6</v>
      </c>
      <c r="F40">
        <v>0</v>
      </c>
      <c r="G40" t="s">
        <v>92</v>
      </c>
      <c r="H40" t="s">
        <v>92</v>
      </c>
      <c r="I40">
        <v>6</v>
      </c>
      <c r="J40">
        <v>0</v>
      </c>
      <c r="K40" t="s">
        <v>92</v>
      </c>
      <c r="L40" t="s">
        <v>92</v>
      </c>
      <c r="M40">
        <v>52.05</v>
      </c>
      <c r="N40" t="s">
        <v>241</v>
      </c>
      <c r="O40">
        <v>17</v>
      </c>
      <c r="P40">
        <v>8</v>
      </c>
      <c r="Q40">
        <v>5</v>
      </c>
      <c r="R40">
        <v>1</v>
      </c>
      <c r="S40">
        <v>0</v>
      </c>
      <c r="T40">
        <v>1</v>
      </c>
      <c r="U40">
        <v>6</v>
      </c>
      <c r="V40">
        <v>0</v>
      </c>
      <c r="W40">
        <v>0</v>
      </c>
      <c r="X40">
        <v>3</v>
      </c>
      <c r="Y40">
        <v>13</v>
      </c>
      <c r="Z40">
        <v>22</v>
      </c>
      <c r="AA40">
        <v>10</v>
      </c>
      <c r="AB40">
        <v>8</v>
      </c>
      <c r="AC40">
        <v>1</v>
      </c>
      <c r="AD40">
        <v>0</v>
      </c>
      <c r="AE40">
        <v>0</v>
      </c>
      <c r="AF40">
        <v>0</v>
      </c>
      <c r="AG40" t="s">
        <v>242</v>
      </c>
      <c r="AH40">
        <v>1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1</v>
      </c>
      <c r="AT40">
        <v>0</v>
      </c>
      <c r="AU40">
        <v>78</v>
      </c>
      <c r="AV40">
        <v>0</v>
      </c>
      <c r="AW40">
        <v>0</v>
      </c>
      <c r="AX40">
        <v>0</v>
      </c>
      <c r="AY40">
        <v>0</v>
      </c>
      <c r="AZ40" t="s">
        <v>209</v>
      </c>
      <c r="BA40">
        <v>37</v>
      </c>
      <c r="BB40">
        <v>15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7</v>
      </c>
      <c r="BK40">
        <v>2</v>
      </c>
      <c r="BL40">
        <v>4</v>
      </c>
      <c r="BM40">
        <v>0</v>
      </c>
      <c r="BN40">
        <v>27</v>
      </c>
      <c r="BO40">
        <v>0</v>
      </c>
      <c r="BP40">
        <v>0</v>
      </c>
      <c r="BQ40">
        <v>0</v>
      </c>
      <c r="BR40">
        <v>0</v>
      </c>
      <c r="BS40" t="s">
        <v>243</v>
      </c>
      <c r="BT40">
        <v>1</v>
      </c>
      <c r="BU40">
        <v>8</v>
      </c>
      <c r="BV40">
        <v>13</v>
      </c>
      <c r="BW40">
        <v>9</v>
      </c>
      <c r="BX40">
        <v>54</v>
      </c>
      <c r="BY40">
        <v>0</v>
      </c>
      <c r="BZ40">
        <v>0</v>
      </c>
      <c r="CA40">
        <v>0</v>
      </c>
      <c r="CB40">
        <v>0</v>
      </c>
      <c r="CC40">
        <v>1</v>
      </c>
      <c r="CD40">
        <v>0</v>
      </c>
      <c r="CE40">
        <v>1</v>
      </c>
      <c r="CF40">
        <v>0</v>
      </c>
      <c r="CG40">
        <v>0</v>
      </c>
      <c r="CH40">
        <v>1</v>
      </c>
      <c r="CI40">
        <v>1</v>
      </c>
      <c r="CJ40">
        <v>1</v>
      </c>
      <c r="CK40">
        <v>1</v>
      </c>
      <c r="CL40">
        <v>52.28</v>
      </c>
      <c r="CM40">
        <v>53.02</v>
      </c>
      <c r="CN40" t="s">
        <v>97</v>
      </c>
      <c r="CO40" s="17">
        <f t="shared" si="1"/>
        <v>4.3993879112471657E-3</v>
      </c>
      <c r="CP40" s="17">
        <f t="shared" si="2"/>
        <v>1.3956997359487078E-2</v>
      </c>
      <c r="CR40" s="16">
        <f t="shared" si="3"/>
        <v>53.009671821953987</v>
      </c>
    </row>
    <row r="41" spans="1:96" x14ac:dyDescent="0.25">
      <c r="A41">
        <v>32</v>
      </c>
      <c r="B41" t="s">
        <v>244</v>
      </c>
      <c r="C41">
        <v>10</v>
      </c>
      <c r="D41">
        <v>1</v>
      </c>
      <c r="E41">
        <v>6</v>
      </c>
      <c r="F41">
        <v>0</v>
      </c>
      <c r="G41" t="s">
        <v>92</v>
      </c>
      <c r="H41" t="s">
        <v>92</v>
      </c>
      <c r="I41">
        <v>6</v>
      </c>
      <c r="J41">
        <v>0</v>
      </c>
      <c r="K41" t="s">
        <v>92</v>
      </c>
      <c r="L41" t="s">
        <v>92</v>
      </c>
      <c r="M41">
        <v>55.37</v>
      </c>
      <c r="N41" t="s">
        <v>245</v>
      </c>
      <c r="O41">
        <v>0</v>
      </c>
      <c r="P41">
        <v>1</v>
      </c>
      <c r="Q41">
        <v>1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2</v>
      </c>
      <c r="AC41">
        <v>1</v>
      </c>
      <c r="AD41">
        <v>2</v>
      </c>
      <c r="AE41">
        <v>1</v>
      </c>
      <c r="AF41">
        <v>2</v>
      </c>
      <c r="AG41" t="s">
        <v>246</v>
      </c>
      <c r="AH41">
        <v>2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11</v>
      </c>
      <c r="AV41">
        <v>0</v>
      </c>
      <c r="AW41">
        <v>0</v>
      </c>
      <c r="AX41">
        <v>0</v>
      </c>
      <c r="AY41">
        <v>0</v>
      </c>
      <c r="AZ41" t="s">
        <v>156</v>
      </c>
      <c r="BA41">
        <v>1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8</v>
      </c>
      <c r="BO41">
        <v>0</v>
      </c>
      <c r="BP41">
        <v>0</v>
      </c>
      <c r="BQ41">
        <v>0</v>
      </c>
      <c r="BR41">
        <v>0</v>
      </c>
      <c r="BS41" t="s">
        <v>247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1</v>
      </c>
      <c r="CD41">
        <v>2</v>
      </c>
      <c r="CE41">
        <v>2</v>
      </c>
      <c r="CF41">
        <v>1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55.56</v>
      </c>
      <c r="CM41">
        <v>55.56</v>
      </c>
      <c r="CN41" t="s">
        <v>248</v>
      </c>
      <c r="CO41" s="17">
        <f t="shared" si="1"/>
        <v>3.419726421886371E-3</v>
      </c>
      <c r="CP41" s="17">
        <f t="shared" si="2"/>
        <v>0</v>
      </c>
      <c r="CR41" s="16">
        <f t="shared" si="3"/>
        <v>55.56</v>
      </c>
    </row>
    <row r="42" spans="1:96" x14ac:dyDescent="0.25">
      <c r="A42">
        <v>33</v>
      </c>
      <c r="B42" t="s">
        <v>249</v>
      </c>
      <c r="C42">
        <v>10</v>
      </c>
      <c r="D42">
        <v>0</v>
      </c>
      <c r="E42">
        <v>6</v>
      </c>
      <c r="F42">
        <v>0</v>
      </c>
      <c r="G42" t="s">
        <v>92</v>
      </c>
      <c r="H42" t="s">
        <v>92</v>
      </c>
      <c r="I42">
        <v>6</v>
      </c>
      <c r="J42">
        <v>0</v>
      </c>
      <c r="K42" t="s">
        <v>92</v>
      </c>
      <c r="L42" t="s">
        <v>92</v>
      </c>
      <c r="M42">
        <v>52.01</v>
      </c>
      <c r="N42" t="s">
        <v>250</v>
      </c>
      <c r="O42">
        <v>3</v>
      </c>
      <c r="P42">
        <v>3</v>
      </c>
      <c r="Q42">
        <v>7</v>
      </c>
      <c r="R42">
        <v>22</v>
      </c>
      <c r="S42">
        <v>66</v>
      </c>
      <c r="T42">
        <v>0</v>
      </c>
      <c r="U42">
        <v>0</v>
      </c>
      <c r="V42">
        <v>0</v>
      </c>
      <c r="W42">
        <v>0</v>
      </c>
      <c r="X42">
        <v>2</v>
      </c>
      <c r="Y42">
        <v>1</v>
      </c>
      <c r="Z42">
        <v>8</v>
      </c>
      <c r="AA42">
        <v>2</v>
      </c>
      <c r="AB42">
        <v>14</v>
      </c>
      <c r="AC42">
        <v>1</v>
      </c>
      <c r="AD42">
        <v>25</v>
      </c>
      <c r="AE42">
        <v>1</v>
      </c>
      <c r="AF42">
        <v>25</v>
      </c>
      <c r="AG42" t="s">
        <v>99</v>
      </c>
      <c r="AH42">
        <v>16</v>
      </c>
      <c r="AI42">
        <v>4</v>
      </c>
      <c r="AJ42">
        <v>5</v>
      </c>
      <c r="AK42">
        <v>1</v>
      </c>
      <c r="AL42">
        <v>0</v>
      </c>
      <c r="AM42">
        <v>3</v>
      </c>
      <c r="AN42">
        <v>6</v>
      </c>
      <c r="AO42">
        <v>0</v>
      </c>
      <c r="AP42">
        <v>0</v>
      </c>
      <c r="AQ42">
        <v>3</v>
      </c>
      <c r="AR42">
        <v>0</v>
      </c>
      <c r="AS42">
        <v>5</v>
      </c>
      <c r="AT42">
        <v>1</v>
      </c>
      <c r="AU42">
        <v>94</v>
      </c>
      <c r="AV42">
        <v>3</v>
      </c>
      <c r="AW42">
        <v>4</v>
      </c>
      <c r="AX42">
        <v>0</v>
      </c>
      <c r="AY42">
        <v>0</v>
      </c>
      <c r="AZ42" t="s">
        <v>204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3</v>
      </c>
      <c r="BK42">
        <v>4</v>
      </c>
      <c r="BL42">
        <v>1</v>
      </c>
      <c r="BM42">
        <v>2</v>
      </c>
      <c r="BN42">
        <v>100</v>
      </c>
      <c r="BO42">
        <v>0</v>
      </c>
      <c r="BP42">
        <v>0</v>
      </c>
      <c r="BQ42">
        <v>0</v>
      </c>
      <c r="BR42">
        <v>0</v>
      </c>
      <c r="BS42" t="s">
        <v>141</v>
      </c>
      <c r="BT42">
        <v>1</v>
      </c>
      <c r="BU42">
        <v>4</v>
      </c>
      <c r="BV42">
        <v>16</v>
      </c>
      <c r="BW42">
        <v>22</v>
      </c>
      <c r="BX42">
        <v>47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1</v>
      </c>
      <c r="CF42">
        <v>0</v>
      </c>
      <c r="CG42">
        <v>11</v>
      </c>
      <c r="CH42">
        <v>1</v>
      </c>
      <c r="CI42">
        <v>12</v>
      </c>
      <c r="CJ42">
        <v>1</v>
      </c>
      <c r="CK42">
        <v>12</v>
      </c>
      <c r="CL42">
        <v>51.69</v>
      </c>
      <c r="CM42">
        <v>52.36</v>
      </c>
      <c r="CN42" t="s">
        <v>97</v>
      </c>
      <c r="CO42" s="17">
        <f t="shared" si="1"/>
        <v>-6.190752563358437E-3</v>
      </c>
      <c r="CP42" s="17">
        <f t="shared" si="2"/>
        <v>1.279602750190989E-2</v>
      </c>
      <c r="CR42" s="16">
        <f t="shared" si="3"/>
        <v>52.351426661573718</v>
      </c>
    </row>
    <row r="43" spans="1:96" x14ac:dyDescent="0.25">
      <c r="A43">
        <v>34</v>
      </c>
      <c r="B43" t="s">
        <v>251</v>
      </c>
      <c r="C43">
        <v>10</v>
      </c>
      <c r="D43">
        <v>0</v>
      </c>
      <c r="E43">
        <v>6</v>
      </c>
      <c r="F43">
        <v>0</v>
      </c>
      <c r="G43" t="s">
        <v>92</v>
      </c>
      <c r="H43" t="s">
        <v>92</v>
      </c>
      <c r="I43">
        <v>6</v>
      </c>
      <c r="J43">
        <v>0</v>
      </c>
      <c r="K43" t="s">
        <v>92</v>
      </c>
      <c r="L43" t="s">
        <v>92</v>
      </c>
      <c r="M43">
        <v>50.13</v>
      </c>
      <c r="N43" t="s">
        <v>252</v>
      </c>
      <c r="O43">
        <v>37</v>
      </c>
      <c r="P43">
        <v>27</v>
      </c>
      <c r="Q43">
        <v>3</v>
      </c>
      <c r="R43">
        <v>3</v>
      </c>
      <c r="S43">
        <v>2</v>
      </c>
      <c r="T43">
        <v>1</v>
      </c>
      <c r="U43">
        <v>2</v>
      </c>
      <c r="V43">
        <v>0</v>
      </c>
      <c r="W43">
        <v>0</v>
      </c>
      <c r="X43">
        <v>26</v>
      </c>
      <c r="Y43">
        <v>4</v>
      </c>
      <c r="Z43">
        <v>4</v>
      </c>
      <c r="AA43">
        <v>1</v>
      </c>
      <c r="AB43">
        <v>1</v>
      </c>
      <c r="AC43">
        <v>2</v>
      </c>
      <c r="AD43">
        <v>10</v>
      </c>
      <c r="AE43">
        <v>1</v>
      </c>
      <c r="AF43">
        <v>0</v>
      </c>
      <c r="AG43" t="s">
        <v>253</v>
      </c>
      <c r="AH43">
        <v>0</v>
      </c>
      <c r="AI43">
        <v>0</v>
      </c>
      <c r="AJ43">
        <v>0</v>
      </c>
      <c r="AK43">
        <v>2</v>
      </c>
      <c r="AL43">
        <v>77</v>
      </c>
      <c r="AM43">
        <v>0</v>
      </c>
      <c r="AN43">
        <v>0</v>
      </c>
      <c r="AO43">
        <v>0</v>
      </c>
      <c r="AP43">
        <v>0</v>
      </c>
      <c r="AQ43">
        <v>2</v>
      </c>
      <c r="AR43">
        <v>0</v>
      </c>
      <c r="AS43">
        <v>0</v>
      </c>
      <c r="AT43">
        <v>0</v>
      </c>
      <c r="AU43">
        <v>3</v>
      </c>
      <c r="AV43">
        <v>1</v>
      </c>
      <c r="AW43">
        <v>3</v>
      </c>
      <c r="AX43">
        <v>1</v>
      </c>
      <c r="AY43">
        <v>3</v>
      </c>
      <c r="AZ43" t="s">
        <v>174</v>
      </c>
      <c r="BA43">
        <v>1</v>
      </c>
      <c r="BB43">
        <v>3</v>
      </c>
      <c r="BC43">
        <v>2</v>
      </c>
      <c r="BD43">
        <v>1</v>
      </c>
      <c r="BE43">
        <v>1</v>
      </c>
      <c r="BF43">
        <v>1</v>
      </c>
      <c r="BG43">
        <v>4</v>
      </c>
      <c r="BH43">
        <v>1</v>
      </c>
      <c r="BI43">
        <v>1</v>
      </c>
      <c r="BJ43">
        <v>1</v>
      </c>
      <c r="BK43">
        <v>0</v>
      </c>
      <c r="BL43">
        <v>1</v>
      </c>
      <c r="BM43">
        <v>0</v>
      </c>
      <c r="BN43">
        <v>76</v>
      </c>
      <c r="BO43">
        <v>0</v>
      </c>
      <c r="BP43">
        <v>0</v>
      </c>
      <c r="BQ43">
        <v>0</v>
      </c>
      <c r="BR43">
        <v>0</v>
      </c>
      <c r="BS43" t="s">
        <v>254</v>
      </c>
      <c r="BT43">
        <v>21</v>
      </c>
      <c r="BU43">
        <v>28</v>
      </c>
      <c r="BV43">
        <v>9</v>
      </c>
      <c r="BW43">
        <v>4</v>
      </c>
      <c r="BX43">
        <v>17</v>
      </c>
      <c r="BY43">
        <v>1</v>
      </c>
      <c r="BZ43">
        <v>5</v>
      </c>
      <c r="CA43">
        <v>0</v>
      </c>
      <c r="CB43">
        <v>0</v>
      </c>
      <c r="CC43">
        <v>6</v>
      </c>
      <c r="CD43">
        <v>2</v>
      </c>
      <c r="CE43">
        <v>1</v>
      </c>
      <c r="CF43">
        <v>0</v>
      </c>
      <c r="CG43">
        <v>1</v>
      </c>
      <c r="CH43">
        <v>2</v>
      </c>
      <c r="CI43">
        <v>4</v>
      </c>
      <c r="CJ43">
        <v>1</v>
      </c>
      <c r="CK43">
        <v>4</v>
      </c>
      <c r="CL43">
        <v>50.07</v>
      </c>
      <c r="CM43">
        <v>50.09</v>
      </c>
      <c r="CN43" t="s">
        <v>97</v>
      </c>
      <c r="CO43" s="17">
        <f t="shared" si="1"/>
        <v>-1.1983223487117556E-3</v>
      </c>
      <c r="CP43" s="17">
        <f t="shared" si="2"/>
        <v>3.9928129367150511E-4</v>
      </c>
      <c r="CR43" s="16">
        <f t="shared" si="3"/>
        <v>50.089992014374133</v>
      </c>
    </row>
    <row r="44" spans="1:96" x14ac:dyDescent="0.25">
      <c r="A44">
        <v>35</v>
      </c>
      <c r="B44" t="s">
        <v>255</v>
      </c>
      <c r="C44">
        <v>10</v>
      </c>
      <c r="D44">
        <v>0</v>
      </c>
      <c r="E44">
        <v>5</v>
      </c>
      <c r="F44">
        <v>1</v>
      </c>
      <c r="G44" t="s">
        <v>92</v>
      </c>
      <c r="H44" t="s">
        <v>92</v>
      </c>
      <c r="I44">
        <v>6</v>
      </c>
      <c r="J44">
        <v>0</v>
      </c>
      <c r="K44" t="s">
        <v>92</v>
      </c>
      <c r="L44" t="s">
        <v>92</v>
      </c>
      <c r="M44">
        <v>46.65</v>
      </c>
      <c r="N44" t="s">
        <v>256</v>
      </c>
      <c r="O44">
        <v>29</v>
      </c>
      <c r="P44">
        <v>15</v>
      </c>
      <c r="Q44">
        <v>17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15</v>
      </c>
      <c r="Y44">
        <v>5</v>
      </c>
      <c r="Z44">
        <v>1</v>
      </c>
      <c r="AA44">
        <v>0</v>
      </c>
      <c r="AB44">
        <v>2</v>
      </c>
      <c r="AC44">
        <v>1</v>
      </c>
      <c r="AD44">
        <v>8</v>
      </c>
      <c r="AE44">
        <v>0</v>
      </c>
      <c r="AF44">
        <v>0</v>
      </c>
      <c r="AG44" t="s">
        <v>257</v>
      </c>
      <c r="AH44">
        <v>1</v>
      </c>
      <c r="AI44">
        <v>4</v>
      </c>
      <c r="AJ44">
        <v>10</v>
      </c>
      <c r="AK44">
        <v>41</v>
      </c>
      <c r="AL44">
        <v>22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 t="s">
        <v>258</v>
      </c>
      <c r="BA44">
        <v>4</v>
      </c>
      <c r="BB44">
        <v>4</v>
      </c>
      <c r="BC44">
        <v>2</v>
      </c>
      <c r="BD44">
        <v>0</v>
      </c>
      <c r="BE44">
        <v>0</v>
      </c>
      <c r="BF44">
        <v>1</v>
      </c>
      <c r="BG44">
        <v>2</v>
      </c>
      <c r="BH44">
        <v>0</v>
      </c>
      <c r="BI44">
        <v>0</v>
      </c>
      <c r="BJ44">
        <v>3</v>
      </c>
      <c r="BK44">
        <v>0</v>
      </c>
      <c r="BL44">
        <v>1</v>
      </c>
      <c r="BM44">
        <v>1</v>
      </c>
      <c r="BN44">
        <v>64</v>
      </c>
      <c r="BO44">
        <v>0</v>
      </c>
      <c r="BP44">
        <v>0</v>
      </c>
      <c r="BQ44">
        <v>0</v>
      </c>
      <c r="BR44">
        <v>0</v>
      </c>
      <c r="BS44" t="s">
        <v>259</v>
      </c>
      <c r="BT44">
        <v>40</v>
      </c>
      <c r="BU44">
        <v>27</v>
      </c>
      <c r="BV44">
        <v>1</v>
      </c>
      <c r="BW44">
        <v>0</v>
      </c>
      <c r="BX44">
        <v>0</v>
      </c>
      <c r="BY44">
        <v>1</v>
      </c>
      <c r="BZ44">
        <v>1</v>
      </c>
      <c r="CA44">
        <v>0</v>
      </c>
      <c r="CB44">
        <v>0</v>
      </c>
      <c r="CC44">
        <v>10</v>
      </c>
      <c r="CD44">
        <v>3</v>
      </c>
      <c r="CE44">
        <v>2</v>
      </c>
      <c r="CF44">
        <v>2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46.17</v>
      </c>
      <c r="CM44">
        <v>46.75</v>
      </c>
      <c r="CN44" t="s">
        <v>97</v>
      </c>
      <c r="CO44" s="17">
        <f t="shared" si="1"/>
        <v>-1.0396361273554255E-2</v>
      </c>
      <c r="CP44" s="17">
        <f t="shared" si="2"/>
        <v>1.2406417112299395E-2</v>
      </c>
      <c r="CR44" s="16">
        <f t="shared" si="3"/>
        <v>46.742804278074864</v>
      </c>
    </row>
    <row r="45" spans="1:96" x14ac:dyDescent="0.25">
      <c r="A45">
        <v>36</v>
      </c>
      <c r="B45" t="s">
        <v>260</v>
      </c>
      <c r="C45">
        <v>10</v>
      </c>
      <c r="D45">
        <v>0</v>
      </c>
      <c r="E45">
        <v>5</v>
      </c>
      <c r="F45">
        <v>1</v>
      </c>
      <c r="G45" t="s">
        <v>92</v>
      </c>
      <c r="H45" t="s">
        <v>92</v>
      </c>
      <c r="I45">
        <v>6</v>
      </c>
      <c r="J45">
        <v>0</v>
      </c>
      <c r="K45" t="s">
        <v>92</v>
      </c>
      <c r="L45" t="s">
        <v>92</v>
      </c>
      <c r="M45">
        <v>50.76</v>
      </c>
      <c r="N45" t="s">
        <v>261</v>
      </c>
      <c r="O45">
        <v>23</v>
      </c>
      <c r="P45">
        <v>8</v>
      </c>
      <c r="Q45">
        <v>16</v>
      </c>
      <c r="R45">
        <v>4</v>
      </c>
      <c r="S45">
        <v>0</v>
      </c>
      <c r="T45">
        <v>1</v>
      </c>
      <c r="U45">
        <v>20</v>
      </c>
      <c r="V45">
        <v>0</v>
      </c>
      <c r="W45">
        <v>0</v>
      </c>
      <c r="X45">
        <v>10</v>
      </c>
      <c r="Y45">
        <v>8</v>
      </c>
      <c r="Z45">
        <v>9</v>
      </c>
      <c r="AA45">
        <v>9</v>
      </c>
      <c r="AB45">
        <v>9</v>
      </c>
      <c r="AC45">
        <v>1</v>
      </c>
      <c r="AD45">
        <v>7</v>
      </c>
      <c r="AE45">
        <v>0</v>
      </c>
      <c r="AF45">
        <v>0</v>
      </c>
      <c r="AG45" t="s">
        <v>262</v>
      </c>
      <c r="AH45">
        <v>5</v>
      </c>
      <c r="AI45">
        <v>6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1</v>
      </c>
      <c r="AR45">
        <v>1</v>
      </c>
      <c r="AS45">
        <v>1</v>
      </c>
      <c r="AT45">
        <v>0</v>
      </c>
      <c r="AU45">
        <v>70</v>
      </c>
      <c r="AV45">
        <v>0</v>
      </c>
      <c r="AW45">
        <v>0</v>
      </c>
      <c r="AX45">
        <v>0</v>
      </c>
      <c r="AY45">
        <v>0</v>
      </c>
      <c r="AZ45" t="s">
        <v>112</v>
      </c>
      <c r="BA45">
        <v>0</v>
      </c>
      <c r="BB45">
        <v>3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2</v>
      </c>
      <c r="BN45">
        <v>77</v>
      </c>
      <c r="BO45">
        <v>0</v>
      </c>
      <c r="BP45">
        <v>0</v>
      </c>
      <c r="BQ45">
        <v>0</v>
      </c>
      <c r="BR45">
        <v>0</v>
      </c>
      <c r="BS45" t="s">
        <v>176</v>
      </c>
      <c r="BT45">
        <v>3</v>
      </c>
      <c r="BU45">
        <v>1</v>
      </c>
      <c r="BV45">
        <v>2</v>
      </c>
      <c r="BW45">
        <v>0</v>
      </c>
      <c r="BX45">
        <v>0</v>
      </c>
      <c r="BY45">
        <v>1</v>
      </c>
      <c r="BZ45">
        <v>2</v>
      </c>
      <c r="CA45">
        <v>0</v>
      </c>
      <c r="CB45">
        <v>0</v>
      </c>
      <c r="CC45">
        <v>1</v>
      </c>
      <c r="CD45">
        <v>1</v>
      </c>
      <c r="CE45">
        <v>0</v>
      </c>
      <c r="CF45">
        <v>3</v>
      </c>
      <c r="CG45">
        <v>75</v>
      </c>
      <c r="CH45">
        <v>1</v>
      </c>
      <c r="CI45">
        <v>0</v>
      </c>
      <c r="CJ45">
        <v>0</v>
      </c>
      <c r="CK45">
        <v>0</v>
      </c>
      <c r="CL45">
        <v>50.65</v>
      </c>
      <c r="CM45">
        <v>51.17</v>
      </c>
      <c r="CN45" t="s">
        <v>97</v>
      </c>
      <c r="CO45" s="17">
        <f t="shared" si="1"/>
        <v>-2.171767028627869E-3</v>
      </c>
      <c r="CP45" s="17">
        <f t="shared" si="2"/>
        <v>1.0162204416650389E-2</v>
      </c>
      <c r="CR45" s="16">
        <f t="shared" si="3"/>
        <v>51.16471565370334</v>
      </c>
    </row>
    <row r="46" spans="1:96" x14ac:dyDescent="0.25">
      <c r="A46">
        <v>37</v>
      </c>
      <c r="B46" t="s">
        <v>263</v>
      </c>
      <c r="C46">
        <v>10</v>
      </c>
      <c r="D46">
        <v>0</v>
      </c>
      <c r="E46">
        <v>5</v>
      </c>
      <c r="F46">
        <v>1</v>
      </c>
      <c r="G46" t="s">
        <v>92</v>
      </c>
      <c r="H46" t="s">
        <v>92</v>
      </c>
      <c r="I46">
        <v>5</v>
      </c>
      <c r="J46">
        <v>1</v>
      </c>
      <c r="K46" t="s">
        <v>92</v>
      </c>
      <c r="L46" t="s">
        <v>92</v>
      </c>
      <c r="M46">
        <v>48.34</v>
      </c>
      <c r="N46" t="s">
        <v>264</v>
      </c>
      <c r="O46">
        <v>11</v>
      </c>
      <c r="P46">
        <v>12</v>
      </c>
      <c r="Q46">
        <v>4</v>
      </c>
      <c r="R46">
        <v>2</v>
      </c>
      <c r="S46">
        <v>0</v>
      </c>
      <c r="T46">
        <v>1</v>
      </c>
      <c r="U46">
        <v>6</v>
      </c>
      <c r="V46">
        <v>0</v>
      </c>
      <c r="W46">
        <v>0</v>
      </c>
      <c r="X46">
        <v>6</v>
      </c>
      <c r="Y46">
        <v>5</v>
      </c>
      <c r="Z46">
        <v>0</v>
      </c>
      <c r="AA46">
        <v>5</v>
      </c>
      <c r="AB46">
        <v>50</v>
      </c>
      <c r="AC46">
        <v>1</v>
      </c>
      <c r="AD46">
        <v>0</v>
      </c>
      <c r="AE46">
        <v>0</v>
      </c>
      <c r="AF46">
        <v>0</v>
      </c>
      <c r="AG46" t="s">
        <v>265</v>
      </c>
      <c r="AH46">
        <v>31</v>
      </c>
      <c r="AI46">
        <v>25</v>
      </c>
      <c r="AJ46">
        <v>1</v>
      </c>
      <c r="AK46">
        <v>0</v>
      </c>
      <c r="AL46">
        <v>0</v>
      </c>
      <c r="AM46">
        <v>1</v>
      </c>
      <c r="AN46">
        <v>1</v>
      </c>
      <c r="AO46">
        <v>0</v>
      </c>
      <c r="AP46">
        <v>0</v>
      </c>
      <c r="AQ46">
        <v>11</v>
      </c>
      <c r="AR46">
        <v>6</v>
      </c>
      <c r="AS46">
        <v>0</v>
      </c>
      <c r="AT46">
        <v>2</v>
      </c>
      <c r="AU46">
        <v>17</v>
      </c>
      <c r="AV46">
        <v>0</v>
      </c>
      <c r="AW46">
        <v>0</v>
      </c>
      <c r="AX46">
        <v>0</v>
      </c>
      <c r="AY46">
        <v>0</v>
      </c>
      <c r="AZ46" t="s">
        <v>266</v>
      </c>
      <c r="BA46">
        <v>23</v>
      </c>
      <c r="BB46">
        <v>3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17</v>
      </c>
      <c r="BK46">
        <v>7</v>
      </c>
      <c r="BL46">
        <v>10</v>
      </c>
      <c r="BM46">
        <v>3</v>
      </c>
      <c r="BN46">
        <v>33</v>
      </c>
      <c r="BO46">
        <v>0</v>
      </c>
      <c r="BP46">
        <v>0</v>
      </c>
      <c r="BQ46">
        <v>0</v>
      </c>
      <c r="BR46">
        <v>0</v>
      </c>
      <c r="BS46" t="s">
        <v>267</v>
      </c>
      <c r="BT46">
        <v>2</v>
      </c>
      <c r="BU46">
        <v>2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2</v>
      </c>
      <c r="CE46">
        <v>0</v>
      </c>
      <c r="CF46">
        <v>0</v>
      </c>
      <c r="CG46">
        <v>76</v>
      </c>
      <c r="CH46">
        <v>0</v>
      </c>
      <c r="CI46">
        <v>0</v>
      </c>
      <c r="CJ46">
        <v>0</v>
      </c>
      <c r="CK46">
        <v>0</v>
      </c>
      <c r="CL46">
        <v>49.01</v>
      </c>
      <c r="CM46">
        <v>50.24</v>
      </c>
      <c r="CN46" t="s">
        <v>97</v>
      </c>
      <c r="CO46" s="17">
        <f t="shared" si="1"/>
        <v>1.3670679453172685E-2</v>
      </c>
      <c r="CP46" s="17">
        <f t="shared" si="2"/>
        <v>2.4482484076433164E-2</v>
      </c>
      <c r="CR46" s="16">
        <f t="shared" si="3"/>
        <v>50.209886544585984</v>
      </c>
    </row>
    <row r="47" spans="1:96" x14ac:dyDescent="0.25">
      <c r="A47">
        <v>38</v>
      </c>
      <c r="B47" t="s">
        <v>268</v>
      </c>
      <c r="C47">
        <v>9</v>
      </c>
      <c r="D47">
        <v>0</v>
      </c>
      <c r="E47">
        <v>5</v>
      </c>
      <c r="F47">
        <v>1</v>
      </c>
      <c r="G47" t="s">
        <v>92</v>
      </c>
      <c r="H47" t="s">
        <v>92</v>
      </c>
      <c r="I47">
        <v>6</v>
      </c>
      <c r="J47">
        <v>0</v>
      </c>
      <c r="K47" t="s">
        <v>92</v>
      </c>
      <c r="L47" t="s">
        <v>92</v>
      </c>
      <c r="M47">
        <v>59.67</v>
      </c>
      <c r="N47" t="s">
        <v>269</v>
      </c>
      <c r="O47">
        <v>15</v>
      </c>
      <c r="P47">
        <v>20</v>
      </c>
      <c r="Q47">
        <v>10</v>
      </c>
      <c r="R47">
        <v>3</v>
      </c>
      <c r="S47">
        <v>1</v>
      </c>
      <c r="T47">
        <v>1</v>
      </c>
      <c r="U47">
        <v>1</v>
      </c>
      <c r="V47">
        <v>0</v>
      </c>
      <c r="W47">
        <v>0</v>
      </c>
      <c r="X47">
        <v>5</v>
      </c>
      <c r="Y47">
        <v>3</v>
      </c>
      <c r="Z47">
        <v>0</v>
      </c>
      <c r="AA47">
        <v>2</v>
      </c>
      <c r="AB47">
        <v>10</v>
      </c>
      <c r="AC47">
        <v>2</v>
      </c>
      <c r="AD47">
        <v>15</v>
      </c>
      <c r="AE47">
        <v>1</v>
      </c>
      <c r="AF47">
        <v>0</v>
      </c>
      <c r="AG47" t="s">
        <v>270</v>
      </c>
      <c r="AH47">
        <v>5</v>
      </c>
      <c r="AI47">
        <v>1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2</v>
      </c>
      <c r="AU47">
        <v>40</v>
      </c>
      <c r="AV47">
        <v>0</v>
      </c>
      <c r="AW47">
        <v>0</v>
      </c>
      <c r="AX47">
        <v>0</v>
      </c>
      <c r="AY47">
        <v>0</v>
      </c>
      <c r="AZ47" t="s">
        <v>271</v>
      </c>
      <c r="BA47">
        <v>1</v>
      </c>
      <c r="BB47">
        <v>0</v>
      </c>
      <c r="BC47">
        <v>1</v>
      </c>
      <c r="BD47">
        <v>0</v>
      </c>
      <c r="BE47">
        <v>0</v>
      </c>
      <c r="BF47">
        <v>1</v>
      </c>
      <c r="BG47">
        <v>1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1</v>
      </c>
      <c r="BN47">
        <v>39</v>
      </c>
      <c r="BO47">
        <v>1</v>
      </c>
      <c r="BP47">
        <v>1</v>
      </c>
      <c r="BQ47">
        <v>0</v>
      </c>
      <c r="BR47">
        <v>0</v>
      </c>
      <c r="BS47" t="s">
        <v>272</v>
      </c>
      <c r="BT47">
        <v>6</v>
      </c>
      <c r="BU47">
        <v>13</v>
      </c>
      <c r="BV47">
        <v>20</v>
      </c>
      <c r="BW47">
        <v>3</v>
      </c>
      <c r="BX47">
        <v>0</v>
      </c>
      <c r="BY47">
        <v>1</v>
      </c>
      <c r="BZ47">
        <v>1</v>
      </c>
      <c r="CA47">
        <v>0</v>
      </c>
      <c r="CB47">
        <v>0</v>
      </c>
      <c r="CC47">
        <v>0</v>
      </c>
      <c r="CD47">
        <v>0</v>
      </c>
      <c r="CE47">
        <v>2</v>
      </c>
      <c r="CF47">
        <v>0</v>
      </c>
      <c r="CG47">
        <v>10</v>
      </c>
      <c r="CH47">
        <v>1</v>
      </c>
      <c r="CI47">
        <v>12</v>
      </c>
      <c r="CJ47">
        <v>0</v>
      </c>
      <c r="CK47">
        <v>0</v>
      </c>
      <c r="CL47">
        <v>59.41</v>
      </c>
      <c r="CM47">
        <v>61.14</v>
      </c>
      <c r="CN47" t="s">
        <v>97</v>
      </c>
      <c r="CO47" s="17">
        <f t="shared" si="1"/>
        <v>-4.3763676148798059E-3</v>
      </c>
      <c r="CP47" s="17">
        <f t="shared" si="2"/>
        <v>2.8295714753025947E-2</v>
      </c>
      <c r="CR47" s="16">
        <f t="shared" si="3"/>
        <v>61.091048413477267</v>
      </c>
    </row>
    <row r="48" spans="1:96" x14ac:dyDescent="0.25">
      <c r="A48">
        <v>39</v>
      </c>
      <c r="B48" t="s">
        <v>273</v>
      </c>
      <c r="C48">
        <v>9</v>
      </c>
      <c r="D48">
        <v>0</v>
      </c>
      <c r="E48">
        <v>6</v>
      </c>
      <c r="F48">
        <v>0</v>
      </c>
      <c r="G48" t="s">
        <v>92</v>
      </c>
      <c r="H48" t="s">
        <v>92</v>
      </c>
      <c r="I48">
        <v>6</v>
      </c>
      <c r="J48">
        <v>0</v>
      </c>
      <c r="K48" t="s">
        <v>92</v>
      </c>
      <c r="L48" t="s">
        <v>92</v>
      </c>
      <c r="M48">
        <v>48.98</v>
      </c>
      <c r="N48" t="s">
        <v>241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4</v>
      </c>
      <c r="AA48">
        <v>2</v>
      </c>
      <c r="AB48">
        <v>73</v>
      </c>
      <c r="AC48">
        <v>0</v>
      </c>
      <c r="AD48">
        <v>0</v>
      </c>
      <c r="AE48">
        <v>0</v>
      </c>
      <c r="AF48">
        <v>0</v>
      </c>
      <c r="AG48" t="s">
        <v>264</v>
      </c>
      <c r="AH48">
        <v>9</v>
      </c>
      <c r="AI48">
        <v>3</v>
      </c>
      <c r="AJ48">
        <v>2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6</v>
      </c>
      <c r="AR48">
        <v>5</v>
      </c>
      <c r="AS48">
        <v>6</v>
      </c>
      <c r="AT48">
        <v>4</v>
      </c>
      <c r="AU48">
        <v>53</v>
      </c>
      <c r="AV48">
        <v>1</v>
      </c>
      <c r="AW48">
        <v>68</v>
      </c>
      <c r="AX48">
        <v>0</v>
      </c>
      <c r="AY48">
        <v>0</v>
      </c>
      <c r="AZ48" t="s">
        <v>274</v>
      </c>
      <c r="BA48">
        <v>15</v>
      </c>
      <c r="BB48">
        <v>5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9</v>
      </c>
      <c r="BK48">
        <v>7</v>
      </c>
      <c r="BL48">
        <v>10</v>
      </c>
      <c r="BM48">
        <v>6</v>
      </c>
      <c r="BN48">
        <v>36</v>
      </c>
      <c r="BO48">
        <v>0</v>
      </c>
      <c r="BP48">
        <v>0</v>
      </c>
      <c r="BQ48">
        <v>0</v>
      </c>
      <c r="BR48">
        <v>0</v>
      </c>
      <c r="BS48" t="s">
        <v>275</v>
      </c>
      <c r="BT48">
        <v>2</v>
      </c>
      <c r="BU48">
        <v>0</v>
      </c>
      <c r="BV48">
        <v>0</v>
      </c>
      <c r="BW48">
        <v>1</v>
      </c>
      <c r="BX48">
        <v>0</v>
      </c>
      <c r="BY48">
        <v>1</v>
      </c>
      <c r="BZ48">
        <v>1</v>
      </c>
      <c r="CA48">
        <v>0</v>
      </c>
      <c r="CB48">
        <v>0</v>
      </c>
      <c r="CC48">
        <v>1</v>
      </c>
      <c r="CD48">
        <v>0</v>
      </c>
      <c r="CE48">
        <v>0</v>
      </c>
      <c r="CF48">
        <v>1</v>
      </c>
      <c r="CG48">
        <v>78</v>
      </c>
      <c r="CH48">
        <v>0</v>
      </c>
      <c r="CI48">
        <v>0</v>
      </c>
      <c r="CJ48">
        <v>0</v>
      </c>
      <c r="CK48">
        <v>0</v>
      </c>
      <c r="CL48">
        <v>48.71</v>
      </c>
      <c r="CM48">
        <v>48.93</v>
      </c>
      <c r="CN48" t="s">
        <v>97</v>
      </c>
      <c r="CO48" s="17">
        <f t="shared" si="1"/>
        <v>-5.5430096489426095E-3</v>
      </c>
      <c r="CP48" s="17">
        <f t="shared" si="2"/>
        <v>4.4962190884937359E-3</v>
      </c>
      <c r="CR48" s="16">
        <f t="shared" si="3"/>
        <v>48.929010831800532</v>
      </c>
    </row>
    <row r="49" spans="1:96" x14ac:dyDescent="0.25">
      <c r="A49">
        <v>40</v>
      </c>
      <c r="B49" t="s">
        <v>276</v>
      </c>
      <c r="C49">
        <v>11</v>
      </c>
      <c r="D49">
        <v>0</v>
      </c>
      <c r="E49">
        <v>5</v>
      </c>
      <c r="F49">
        <v>1</v>
      </c>
      <c r="G49" t="s">
        <v>92</v>
      </c>
      <c r="H49" t="s">
        <v>92</v>
      </c>
      <c r="I49">
        <v>5</v>
      </c>
      <c r="J49">
        <v>1</v>
      </c>
      <c r="K49" t="s">
        <v>92</v>
      </c>
      <c r="L49" t="s">
        <v>92</v>
      </c>
      <c r="M49">
        <v>46.71</v>
      </c>
      <c r="N49" t="s">
        <v>277</v>
      </c>
      <c r="O49">
        <v>1</v>
      </c>
      <c r="P49">
        <v>5</v>
      </c>
      <c r="Q49">
        <v>1</v>
      </c>
      <c r="R49">
        <v>1</v>
      </c>
      <c r="S49">
        <v>1</v>
      </c>
      <c r="T49">
        <v>1</v>
      </c>
      <c r="U49">
        <v>3</v>
      </c>
      <c r="V49">
        <v>1</v>
      </c>
      <c r="W49">
        <v>1</v>
      </c>
      <c r="X49">
        <v>2</v>
      </c>
      <c r="Y49">
        <v>2</v>
      </c>
      <c r="Z49">
        <v>1</v>
      </c>
      <c r="AA49">
        <v>1</v>
      </c>
      <c r="AB49">
        <v>49</v>
      </c>
      <c r="AC49">
        <v>1</v>
      </c>
      <c r="AD49">
        <v>1</v>
      </c>
      <c r="AE49">
        <v>1</v>
      </c>
      <c r="AF49">
        <v>0</v>
      </c>
      <c r="AG49" t="s">
        <v>278</v>
      </c>
      <c r="AH49">
        <v>1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61</v>
      </c>
      <c r="AV49">
        <v>0</v>
      </c>
      <c r="AW49">
        <v>0</v>
      </c>
      <c r="AX49">
        <v>0</v>
      </c>
      <c r="AY49">
        <v>0</v>
      </c>
      <c r="AZ49" t="s">
        <v>279</v>
      </c>
      <c r="BA49">
        <v>11</v>
      </c>
      <c r="BB49">
        <v>2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12</v>
      </c>
      <c r="BK49">
        <v>3</v>
      </c>
      <c r="BL49">
        <v>4</v>
      </c>
      <c r="BM49">
        <v>2</v>
      </c>
      <c r="BN49">
        <v>15</v>
      </c>
      <c r="BO49">
        <v>0</v>
      </c>
      <c r="BP49">
        <v>0</v>
      </c>
      <c r="BQ49">
        <v>0</v>
      </c>
      <c r="BR49">
        <v>0</v>
      </c>
      <c r="BS49" t="s">
        <v>280</v>
      </c>
      <c r="BT49">
        <v>8</v>
      </c>
      <c r="BU49">
        <v>1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5</v>
      </c>
      <c r="CD49">
        <v>3</v>
      </c>
      <c r="CE49">
        <v>2</v>
      </c>
      <c r="CF49">
        <v>3</v>
      </c>
      <c r="CG49">
        <v>23</v>
      </c>
      <c r="CH49">
        <v>0</v>
      </c>
      <c r="CI49">
        <v>0</v>
      </c>
      <c r="CJ49">
        <v>0</v>
      </c>
      <c r="CK49">
        <v>0</v>
      </c>
      <c r="CL49">
        <v>47.26</v>
      </c>
      <c r="CM49">
        <v>48.5</v>
      </c>
      <c r="CN49" t="s">
        <v>103</v>
      </c>
      <c r="CO49" s="17">
        <f t="shared" si="1"/>
        <v>1.1637748624629629E-2</v>
      </c>
      <c r="CP49" s="17">
        <f t="shared" si="2"/>
        <v>2.5567010309278437E-2</v>
      </c>
      <c r="CR49" s="16">
        <f t="shared" si="3"/>
        <v>48.468296907216498</v>
      </c>
    </row>
    <row r="50" spans="1:96" x14ac:dyDescent="0.25">
      <c r="A50">
        <v>41</v>
      </c>
      <c r="B50" t="s">
        <v>281</v>
      </c>
      <c r="C50">
        <v>10</v>
      </c>
      <c r="D50">
        <v>0</v>
      </c>
      <c r="E50">
        <v>5</v>
      </c>
      <c r="F50">
        <v>1</v>
      </c>
      <c r="G50" t="s">
        <v>92</v>
      </c>
      <c r="H50" t="s">
        <v>92</v>
      </c>
      <c r="I50">
        <v>5</v>
      </c>
      <c r="J50">
        <v>1</v>
      </c>
      <c r="K50" t="s">
        <v>92</v>
      </c>
      <c r="L50" t="s">
        <v>92</v>
      </c>
      <c r="M50">
        <v>51.51</v>
      </c>
      <c r="N50" t="s">
        <v>173</v>
      </c>
      <c r="O50">
        <v>1</v>
      </c>
      <c r="P50">
        <v>9</v>
      </c>
      <c r="Q50">
        <v>8</v>
      </c>
      <c r="R50">
        <v>9</v>
      </c>
      <c r="S50">
        <v>16</v>
      </c>
      <c r="T50">
        <v>0</v>
      </c>
      <c r="U50">
        <v>0</v>
      </c>
      <c r="V50">
        <v>0</v>
      </c>
      <c r="W50">
        <v>0</v>
      </c>
      <c r="X50">
        <v>3</v>
      </c>
      <c r="Y50">
        <v>0</v>
      </c>
      <c r="Z50">
        <v>0</v>
      </c>
      <c r="AA50">
        <v>0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282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31</v>
      </c>
      <c r="AV50">
        <v>0</v>
      </c>
      <c r="AW50">
        <v>0</v>
      </c>
      <c r="AX50">
        <v>0</v>
      </c>
      <c r="AY50">
        <v>0</v>
      </c>
      <c r="AZ50" t="s">
        <v>283</v>
      </c>
      <c r="BA50">
        <v>8</v>
      </c>
      <c r="BB50">
        <v>3</v>
      </c>
      <c r="BC50">
        <v>1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1</v>
      </c>
      <c r="BM50">
        <v>0</v>
      </c>
      <c r="BN50">
        <v>36</v>
      </c>
      <c r="BO50">
        <v>1</v>
      </c>
      <c r="BP50">
        <v>0</v>
      </c>
      <c r="BQ50">
        <v>0</v>
      </c>
      <c r="BR50">
        <v>0</v>
      </c>
      <c r="BS50" t="s">
        <v>284</v>
      </c>
      <c r="BT50">
        <v>2</v>
      </c>
      <c r="BU50">
        <v>1</v>
      </c>
      <c r="BV50">
        <v>3</v>
      </c>
      <c r="BW50">
        <v>1</v>
      </c>
      <c r="BX50">
        <v>2</v>
      </c>
      <c r="BY50">
        <v>2</v>
      </c>
      <c r="BZ50">
        <v>6</v>
      </c>
      <c r="CA50">
        <v>1</v>
      </c>
      <c r="CB50">
        <v>2</v>
      </c>
      <c r="CC50">
        <v>0</v>
      </c>
      <c r="CD50">
        <v>0</v>
      </c>
      <c r="CE50">
        <v>1</v>
      </c>
      <c r="CF50">
        <v>1</v>
      </c>
      <c r="CG50">
        <v>32</v>
      </c>
      <c r="CH50">
        <v>2</v>
      </c>
      <c r="CI50">
        <v>2</v>
      </c>
      <c r="CJ50">
        <v>1</v>
      </c>
      <c r="CK50">
        <v>0</v>
      </c>
      <c r="CL50">
        <v>52.18</v>
      </c>
      <c r="CM50">
        <v>52.8</v>
      </c>
      <c r="CN50" t="s">
        <v>103</v>
      </c>
      <c r="CO50" s="17">
        <f t="shared" si="1"/>
        <v>1.2840168646991224E-2</v>
      </c>
      <c r="CP50" s="17">
        <f t="shared" si="2"/>
        <v>1.1742424242424221E-2</v>
      </c>
      <c r="CR50" s="16">
        <f t="shared" si="3"/>
        <v>52.792719696969698</v>
      </c>
    </row>
    <row r="51" spans="1:96" x14ac:dyDescent="0.25">
      <c r="A51">
        <v>42</v>
      </c>
      <c r="B51" t="s">
        <v>285</v>
      </c>
      <c r="C51">
        <v>9</v>
      </c>
      <c r="D51">
        <v>0</v>
      </c>
      <c r="E51">
        <v>5</v>
      </c>
      <c r="F51">
        <v>1</v>
      </c>
      <c r="G51" t="s">
        <v>92</v>
      </c>
      <c r="H51" t="s">
        <v>92</v>
      </c>
      <c r="I51">
        <v>5</v>
      </c>
      <c r="J51">
        <v>1</v>
      </c>
      <c r="K51" t="s">
        <v>92</v>
      </c>
      <c r="L51" t="s">
        <v>92</v>
      </c>
      <c r="M51">
        <v>45.67</v>
      </c>
      <c r="N51" t="s">
        <v>208</v>
      </c>
      <c r="O51">
        <v>1</v>
      </c>
      <c r="P51">
        <v>1</v>
      </c>
      <c r="Q51">
        <v>5</v>
      </c>
      <c r="R51">
        <v>1</v>
      </c>
      <c r="S51">
        <v>3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 t="s">
        <v>283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16</v>
      </c>
      <c r="AV51">
        <v>0</v>
      </c>
      <c r="AW51">
        <v>0</v>
      </c>
      <c r="AX51">
        <v>0</v>
      </c>
      <c r="AY51">
        <v>0</v>
      </c>
      <c r="AZ51" t="s">
        <v>278</v>
      </c>
      <c r="BA51">
        <v>9</v>
      </c>
      <c r="BB51">
        <v>2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2</v>
      </c>
      <c r="BK51">
        <v>0</v>
      </c>
      <c r="BL51">
        <v>1</v>
      </c>
      <c r="BM51">
        <v>0</v>
      </c>
      <c r="BN51">
        <v>10</v>
      </c>
      <c r="BO51">
        <v>0</v>
      </c>
      <c r="BP51">
        <v>0</v>
      </c>
      <c r="BQ51">
        <v>0</v>
      </c>
      <c r="BR51">
        <v>0</v>
      </c>
      <c r="BS51" t="s">
        <v>265</v>
      </c>
      <c r="BT51">
        <v>11</v>
      </c>
      <c r="BU51">
        <v>4</v>
      </c>
      <c r="BV51">
        <v>1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45.8</v>
      </c>
      <c r="CM51">
        <v>46.13</v>
      </c>
      <c r="CN51" t="s">
        <v>103</v>
      </c>
      <c r="CO51" s="17">
        <f t="shared" si="1"/>
        <v>2.8384279475981433E-3</v>
      </c>
      <c r="CP51" s="17">
        <f t="shared" si="2"/>
        <v>7.1536960763062263E-3</v>
      </c>
      <c r="CR51" s="16">
        <f t="shared" si="3"/>
        <v>46.127639280294822</v>
      </c>
    </row>
    <row r="52" spans="1:96" x14ac:dyDescent="0.25">
      <c r="A52">
        <v>43</v>
      </c>
      <c r="B52" t="s">
        <v>286</v>
      </c>
      <c r="C52">
        <v>10</v>
      </c>
      <c r="D52">
        <v>0</v>
      </c>
      <c r="E52">
        <v>5</v>
      </c>
      <c r="F52">
        <v>1</v>
      </c>
      <c r="G52" t="s">
        <v>92</v>
      </c>
      <c r="H52" t="s">
        <v>92</v>
      </c>
      <c r="I52">
        <v>5</v>
      </c>
      <c r="J52">
        <v>1</v>
      </c>
      <c r="K52" t="s">
        <v>92</v>
      </c>
      <c r="L52" t="s">
        <v>92</v>
      </c>
      <c r="M52">
        <v>57.14</v>
      </c>
      <c r="N52" t="s">
        <v>287</v>
      </c>
      <c r="O52">
        <v>0</v>
      </c>
      <c r="P52">
        <v>4</v>
      </c>
      <c r="Q52">
        <v>2</v>
      </c>
      <c r="R52">
        <v>0</v>
      </c>
      <c r="S52">
        <v>3</v>
      </c>
      <c r="T52">
        <v>1</v>
      </c>
      <c r="U52">
        <v>2</v>
      </c>
      <c r="V52">
        <v>1</v>
      </c>
      <c r="W52">
        <v>2</v>
      </c>
      <c r="X52">
        <v>0</v>
      </c>
      <c r="Y52">
        <v>0</v>
      </c>
      <c r="Z52">
        <v>0</v>
      </c>
      <c r="AA52">
        <v>0</v>
      </c>
      <c r="AB52">
        <v>6</v>
      </c>
      <c r="AC52">
        <v>2</v>
      </c>
      <c r="AD52">
        <v>6</v>
      </c>
      <c r="AE52">
        <v>2</v>
      </c>
      <c r="AF52">
        <v>5</v>
      </c>
      <c r="AG52" t="s">
        <v>288</v>
      </c>
      <c r="AH52">
        <v>0</v>
      </c>
      <c r="AI52">
        <v>0</v>
      </c>
      <c r="AJ52">
        <v>0</v>
      </c>
      <c r="AK52">
        <v>1</v>
      </c>
      <c r="AL52">
        <v>3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 t="s">
        <v>289</v>
      </c>
      <c r="BA52">
        <v>0</v>
      </c>
      <c r="BB52">
        <v>0</v>
      </c>
      <c r="BC52">
        <v>0</v>
      </c>
      <c r="BD52">
        <v>0</v>
      </c>
      <c r="BE52">
        <v>3</v>
      </c>
      <c r="BF52">
        <v>1</v>
      </c>
      <c r="BG52">
        <v>1</v>
      </c>
      <c r="BH52">
        <v>1</v>
      </c>
      <c r="BI52">
        <v>1</v>
      </c>
      <c r="BJ52">
        <v>0</v>
      </c>
      <c r="BK52">
        <v>0</v>
      </c>
      <c r="BL52">
        <v>0</v>
      </c>
      <c r="BM52">
        <v>1</v>
      </c>
      <c r="BN52">
        <v>0</v>
      </c>
      <c r="BO52">
        <v>1</v>
      </c>
      <c r="BP52">
        <v>1</v>
      </c>
      <c r="BQ52">
        <v>1</v>
      </c>
      <c r="BR52">
        <v>1</v>
      </c>
      <c r="BS52" t="s">
        <v>170</v>
      </c>
      <c r="BT52">
        <v>0</v>
      </c>
      <c r="BU52">
        <v>0</v>
      </c>
      <c r="BV52">
        <v>0</v>
      </c>
      <c r="BW52">
        <v>0</v>
      </c>
      <c r="BX52">
        <v>2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56.41</v>
      </c>
      <c r="CM52">
        <v>57.06</v>
      </c>
      <c r="CN52" t="s">
        <v>103</v>
      </c>
      <c r="CO52" s="17">
        <f t="shared" si="1"/>
        <v>-1.2940967913490642E-2</v>
      </c>
      <c r="CP52" s="17">
        <f t="shared" si="2"/>
        <v>1.1391517700666043E-2</v>
      </c>
      <c r="CR52" s="16">
        <f t="shared" si="3"/>
        <v>57.052595513494566</v>
      </c>
    </row>
    <row r="53" spans="1:96" x14ac:dyDescent="0.25">
      <c r="A53">
        <v>44</v>
      </c>
      <c r="B53" t="s">
        <v>290</v>
      </c>
      <c r="C53">
        <v>9</v>
      </c>
      <c r="D53">
        <v>0</v>
      </c>
      <c r="E53">
        <v>6</v>
      </c>
      <c r="F53">
        <v>0</v>
      </c>
      <c r="G53" t="s">
        <v>92</v>
      </c>
      <c r="H53" t="s">
        <v>92</v>
      </c>
      <c r="I53">
        <v>6</v>
      </c>
      <c r="J53">
        <v>0</v>
      </c>
      <c r="K53" t="s">
        <v>92</v>
      </c>
      <c r="L53" t="s">
        <v>92</v>
      </c>
      <c r="M53">
        <v>47.71</v>
      </c>
      <c r="N53" t="s">
        <v>291</v>
      </c>
      <c r="O53">
        <v>9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2</v>
      </c>
      <c r="Y53">
        <v>3</v>
      </c>
      <c r="Z53">
        <v>2</v>
      </c>
      <c r="AA53">
        <v>4</v>
      </c>
      <c r="AB53">
        <v>63</v>
      </c>
      <c r="AC53">
        <v>0</v>
      </c>
      <c r="AD53">
        <v>0</v>
      </c>
      <c r="AE53">
        <v>0</v>
      </c>
      <c r="AF53">
        <v>0</v>
      </c>
      <c r="AG53" t="s">
        <v>292</v>
      </c>
      <c r="AH53">
        <v>8</v>
      </c>
      <c r="AI53">
        <v>4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0</v>
      </c>
      <c r="AS53">
        <v>3</v>
      </c>
      <c r="AT53">
        <v>2</v>
      </c>
      <c r="AU53">
        <v>68</v>
      </c>
      <c r="AV53">
        <v>0</v>
      </c>
      <c r="AW53">
        <v>0</v>
      </c>
      <c r="AX53">
        <v>0</v>
      </c>
      <c r="AY53">
        <v>0</v>
      </c>
      <c r="AZ53" t="s">
        <v>293</v>
      </c>
      <c r="BA53">
        <v>0</v>
      </c>
      <c r="BB53">
        <v>6</v>
      </c>
      <c r="BC53">
        <v>39</v>
      </c>
      <c r="BD53">
        <v>23</v>
      </c>
      <c r="BE53">
        <v>11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1</v>
      </c>
      <c r="BO53">
        <v>1</v>
      </c>
      <c r="BP53">
        <v>2</v>
      </c>
      <c r="BQ53">
        <v>1</v>
      </c>
      <c r="BR53">
        <v>2</v>
      </c>
      <c r="BS53" t="s">
        <v>294</v>
      </c>
      <c r="BT53">
        <v>5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1</v>
      </c>
      <c r="CD53">
        <v>3</v>
      </c>
      <c r="CE53">
        <v>2</v>
      </c>
      <c r="CF53">
        <v>1</v>
      </c>
      <c r="CG53">
        <v>72</v>
      </c>
      <c r="CH53">
        <v>0</v>
      </c>
      <c r="CI53">
        <v>0</v>
      </c>
      <c r="CJ53">
        <v>0</v>
      </c>
      <c r="CK53">
        <v>0</v>
      </c>
      <c r="CL53">
        <v>47.65</v>
      </c>
      <c r="CM53">
        <v>47.65</v>
      </c>
      <c r="CN53" t="s">
        <v>103</v>
      </c>
      <c r="CO53" s="17">
        <f t="shared" si="1"/>
        <v>-1.2591815320042166E-3</v>
      </c>
      <c r="CP53" s="17">
        <f t="shared" si="2"/>
        <v>0</v>
      </c>
      <c r="CR53" s="16">
        <f t="shared" si="3"/>
        <v>47.65</v>
      </c>
    </row>
    <row r="54" spans="1:96" x14ac:dyDescent="0.25">
      <c r="A54">
        <v>45</v>
      </c>
      <c r="B54" t="s">
        <v>295</v>
      </c>
      <c r="C54">
        <v>9</v>
      </c>
      <c r="D54">
        <v>2</v>
      </c>
      <c r="E54">
        <v>5</v>
      </c>
      <c r="F54">
        <v>1</v>
      </c>
      <c r="G54" t="s">
        <v>92</v>
      </c>
      <c r="H54" t="s">
        <v>92</v>
      </c>
      <c r="I54">
        <v>6</v>
      </c>
      <c r="J54">
        <v>0</v>
      </c>
      <c r="K54" t="s">
        <v>92</v>
      </c>
      <c r="L54" t="s">
        <v>92</v>
      </c>
      <c r="M54">
        <v>56.26</v>
      </c>
      <c r="N54" t="s">
        <v>296</v>
      </c>
      <c r="O54">
        <v>2</v>
      </c>
      <c r="P54">
        <v>6</v>
      </c>
      <c r="Q54">
        <v>3</v>
      </c>
      <c r="R54">
        <v>1</v>
      </c>
      <c r="S54">
        <v>10</v>
      </c>
      <c r="T54">
        <v>0</v>
      </c>
      <c r="U54">
        <v>0</v>
      </c>
      <c r="V54">
        <v>0</v>
      </c>
      <c r="W54">
        <v>0</v>
      </c>
      <c r="X54">
        <v>3</v>
      </c>
      <c r="Y54">
        <v>1</v>
      </c>
      <c r="Z54">
        <v>2</v>
      </c>
      <c r="AA54">
        <v>0</v>
      </c>
      <c r="AB54">
        <v>6</v>
      </c>
      <c r="AC54">
        <v>1</v>
      </c>
      <c r="AD54">
        <v>9</v>
      </c>
      <c r="AE54">
        <v>1</v>
      </c>
      <c r="AF54">
        <v>9</v>
      </c>
      <c r="AG54" t="s">
        <v>297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31</v>
      </c>
      <c r="AV54">
        <v>0</v>
      </c>
      <c r="AW54">
        <v>0</v>
      </c>
      <c r="AX54">
        <v>0</v>
      </c>
      <c r="AY54">
        <v>0</v>
      </c>
      <c r="AZ54" t="s">
        <v>166</v>
      </c>
      <c r="BA54">
        <v>4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1</v>
      </c>
      <c r="BL54">
        <v>0</v>
      </c>
      <c r="BM54">
        <v>1</v>
      </c>
      <c r="BN54">
        <v>32</v>
      </c>
      <c r="BO54">
        <v>0</v>
      </c>
      <c r="BP54">
        <v>0</v>
      </c>
      <c r="BQ54">
        <v>0</v>
      </c>
      <c r="BR54">
        <v>0</v>
      </c>
      <c r="BS54" t="s">
        <v>298</v>
      </c>
      <c r="BT54">
        <v>5</v>
      </c>
      <c r="BU54">
        <v>8</v>
      </c>
      <c r="BV54">
        <v>8</v>
      </c>
      <c r="BW54">
        <v>3</v>
      </c>
      <c r="BX54">
        <v>23</v>
      </c>
      <c r="BY54">
        <v>3</v>
      </c>
      <c r="BZ54">
        <v>8</v>
      </c>
      <c r="CA54">
        <v>3</v>
      </c>
      <c r="CB54">
        <v>5</v>
      </c>
      <c r="CC54">
        <v>2</v>
      </c>
      <c r="CD54">
        <v>0</v>
      </c>
      <c r="CE54">
        <v>3</v>
      </c>
      <c r="CF54">
        <v>0</v>
      </c>
      <c r="CG54">
        <v>1</v>
      </c>
      <c r="CH54">
        <v>4</v>
      </c>
      <c r="CI54">
        <v>4</v>
      </c>
      <c r="CJ54">
        <v>4</v>
      </c>
      <c r="CK54">
        <v>4</v>
      </c>
      <c r="CL54">
        <v>55.51</v>
      </c>
      <c r="CM54">
        <v>57.43</v>
      </c>
      <c r="CN54" t="s">
        <v>103</v>
      </c>
      <c r="CO54" s="17">
        <f t="shared" si="1"/>
        <v>-1.3511079084849609E-2</v>
      </c>
      <c r="CP54" s="17">
        <f t="shared" si="2"/>
        <v>3.3432004179000607E-2</v>
      </c>
      <c r="CR54" s="16">
        <f t="shared" si="3"/>
        <v>57.365810551976324</v>
      </c>
    </row>
    <row r="55" spans="1:96" x14ac:dyDescent="0.25">
      <c r="A55">
        <v>46</v>
      </c>
      <c r="B55" t="s">
        <v>299</v>
      </c>
      <c r="C55">
        <v>9</v>
      </c>
      <c r="D55">
        <v>0</v>
      </c>
      <c r="E55">
        <v>6</v>
      </c>
      <c r="F55">
        <v>0</v>
      </c>
      <c r="G55" t="s">
        <v>92</v>
      </c>
      <c r="H55" t="s">
        <v>92</v>
      </c>
      <c r="I55">
        <v>6</v>
      </c>
      <c r="J55">
        <v>0</v>
      </c>
      <c r="K55" t="s">
        <v>92</v>
      </c>
      <c r="L55" t="s">
        <v>92</v>
      </c>
      <c r="M55">
        <v>56.95</v>
      </c>
      <c r="N55" t="s">
        <v>300</v>
      </c>
      <c r="O55">
        <v>1</v>
      </c>
      <c r="P55">
        <v>4</v>
      </c>
      <c r="Q55">
        <v>57</v>
      </c>
      <c r="R55">
        <v>15</v>
      </c>
      <c r="S55">
        <v>1</v>
      </c>
      <c r="T55">
        <v>0</v>
      </c>
      <c r="U55">
        <v>0</v>
      </c>
      <c r="V55">
        <v>0</v>
      </c>
      <c r="W55">
        <v>0</v>
      </c>
      <c r="X55">
        <v>2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 t="s">
        <v>140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1</v>
      </c>
      <c r="AS55">
        <v>1</v>
      </c>
      <c r="AT55">
        <v>0</v>
      </c>
      <c r="AU55">
        <v>73</v>
      </c>
      <c r="AV55">
        <v>0</v>
      </c>
      <c r="AW55">
        <v>0</v>
      </c>
      <c r="AX55">
        <v>0</v>
      </c>
      <c r="AY55">
        <v>0</v>
      </c>
      <c r="AZ55" t="s">
        <v>264</v>
      </c>
      <c r="BA55">
        <v>1</v>
      </c>
      <c r="BB55">
        <v>7</v>
      </c>
      <c r="BC55">
        <v>6</v>
      </c>
      <c r="BD55">
        <v>26</v>
      </c>
      <c r="BE55">
        <v>39</v>
      </c>
      <c r="BF55">
        <v>0</v>
      </c>
      <c r="BG55">
        <v>0</v>
      </c>
      <c r="BH55">
        <v>0</v>
      </c>
      <c r="BI55">
        <v>0</v>
      </c>
      <c r="BJ55">
        <v>1</v>
      </c>
      <c r="BK55">
        <v>0</v>
      </c>
      <c r="BL55">
        <v>0</v>
      </c>
      <c r="BM55">
        <v>0</v>
      </c>
      <c r="BN55">
        <v>1</v>
      </c>
      <c r="BO55">
        <v>1</v>
      </c>
      <c r="BP55">
        <v>1</v>
      </c>
      <c r="BQ55">
        <v>1</v>
      </c>
      <c r="BR55">
        <v>1</v>
      </c>
      <c r="BS55" t="s">
        <v>301</v>
      </c>
      <c r="BT55">
        <v>41</v>
      </c>
      <c r="BU55">
        <v>6</v>
      </c>
      <c r="BV55">
        <v>20</v>
      </c>
      <c r="BW55">
        <v>3</v>
      </c>
      <c r="BX55">
        <v>0</v>
      </c>
      <c r="BY55">
        <v>1</v>
      </c>
      <c r="BZ55">
        <v>1</v>
      </c>
      <c r="CA55">
        <v>0</v>
      </c>
      <c r="CB55">
        <v>0</v>
      </c>
      <c r="CC55">
        <v>7</v>
      </c>
      <c r="CD55">
        <v>0</v>
      </c>
      <c r="CE55">
        <v>1</v>
      </c>
      <c r="CF55">
        <v>2</v>
      </c>
      <c r="CG55">
        <v>2</v>
      </c>
      <c r="CH55">
        <v>1</v>
      </c>
      <c r="CI55">
        <v>5</v>
      </c>
      <c r="CJ55">
        <v>0</v>
      </c>
      <c r="CK55">
        <v>0</v>
      </c>
      <c r="CL55">
        <v>56.52</v>
      </c>
      <c r="CM55">
        <v>57.1</v>
      </c>
      <c r="CN55" t="s">
        <v>103</v>
      </c>
      <c r="CO55" s="17">
        <f t="shared" si="1"/>
        <v>-7.6079263977353317E-3</v>
      </c>
      <c r="CP55" s="17">
        <f t="shared" si="2"/>
        <v>1.0157618213660236E-2</v>
      </c>
      <c r="CR55" s="16">
        <f t="shared" si="3"/>
        <v>57.094108581436082</v>
      </c>
    </row>
    <row r="56" spans="1:96" x14ac:dyDescent="0.25">
      <c r="A56">
        <v>47</v>
      </c>
      <c r="B56" t="s">
        <v>302</v>
      </c>
      <c r="C56">
        <v>9</v>
      </c>
      <c r="D56">
        <v>0</v>
      </c>
      <c r="E56">
        <v>5</v>
      </c>
      <c r="F56">
        <v>1</v>
      </c>
      <c r="G56" t="s">
        <v>92</v>
      </c>
      <c r="H56" t="s">
        <v>92</v>
      </c>
      <c r="I56">
        <v>6</v>
      </c>
      <c r="J56">
        <v>0</v>
      </c>
      <c r="K56" t="s">
        <v>92</v>
      </c>
      <c r="L56" t="s">
        <v>92</v>
      </c>
      <c r="M56">
        <v>61.78</v>
      </c>
      <c r="N56" t="s">
        <v>303</v>
      </c>
      <c r="O56">
        <v>0</v>
      </c>
      <c r="P56">
        <v>1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84</v>
      </c>
      <c r="AC56">
        <v>0</v>
      </c>
      <c r="AD56">
        <v>0</v>
      </c>
      <c r="AE56">
        <v>0</v>
      </c>
      <c r="AF56">
        <v>0</v>
      </c>
      <c r="AG56" t="s">
        <v>242</v>
      </c>
      <c r="AH56">
        <v>9</v>
      </c>
      <c r="AI56">
        <v>1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5</v>
      </c>
      <c r="AR56">
        <v>0</v>
      </c>
      <c r="AS56">
        <v>1</v>
      </c>
      <c r="AT56">
        <v>3</v>
      </c>
      <c r="AU56">
        <v>66</v>
      </c>
      <c r="AV56">
        <v>0</v>
      </c>
      <c r="AW56">
        <v>0</v>
      </c>
      <c r="AX56">
        <v>0</v>
      </c>
      <c r="AY56">
        <v>0</v>
      </c>
      <c r="AZ56" t="s">
        <v>304</v>
      </c>
      <c r="BA56">
        <v>2</v>
      </c>
      <c r="BB56">
        <v>3</v>
      </c>
      <c r="BC56">
        <v>4</v>
      </c>
      <c r="BD56">
        <v>10</v>
      </c>
      <c r="BE56">
        <v>5</v>
      </c>
      <c r="BF56">
        <v>1</v>
      </c>
      <c r="BG56">
        <v>19</v>
      </c>
      <c r="BH56">
        <v>1</v>
      </c>
      <c r="BI56">
        <v>5</v>
      </c>
      <c r="BJ56">
        <v>0</v>
      </c>
      <c r="BK56">
        <v>0</v>
      </c>
      <c r="BL56">
        <v>1</v>
      </c>
      <c r="BM56">
        <v>0</v>
      </c>
      <c r="BN56">
        <v>55</v>
      </c>
      <c r="BO56">
        <v>1</v>
      </c>
      <c r="BP56">
        <v>24</v>
      </c>
      <c r="BQ56">
        <v>1</v>
      </c>
      <c r="BR56">
        <v>0</v>
      </c>
      <c r="BS56" t="s">
        <v>305</v>
      </c>
      <c r="BT56">
        <v>11</v>
      </c>
      <c r="BU56">
        <v>17</v>
      </c>
      <c r="BV56">
        <v>11</v>
      </c>
      <c r="BW56">
        <v>1</v>
      </c>
      <c r="BX56">
        <v>23</v>
      </c>
      <c r="BY56">
        <v>0</v>
      </c>
      <c r="BZ56">
        <v>0</v>
      </c>
      <c r="CA56">
        <v>0</v>
      </c>
      <c r="CB56">
        <v>0</v>
      </c>
      <c r="CC56">
        <v>2</v>
      </c>
      <c r="CD56">
        <v>0</v>
      </c>
      <c r="CE56">
        <v>0</v>
      </c>
      <c r="CF56">
        <v>1</v>
      </c>
      <c r="CG56">
        <v>18</v>
      </c>
      <c r="CH56">
        <v>1</v>
      </c>
      <c r="CI56">
        <v>19</v>
      </c>
      <c r="CJ56">
        <v>1</v>
      </c>
      <c r="CK56">
        <v>19</v>
      </c>
      <c r="CL56">
        <v>61.72</v>
      </c>
      <c r="CM56">
        <v>61.72</v>
      </c>
      <c r="CN56" t="s">
        <v>103</v>
      </c>
      <c r="CO56" s="17">
        <f t="shared" si="1"/>
        <v>-9.7213220998049188E-4</v>
      </c>
      <c r="CP56" s="17">
        <f t="shared" si="2"/>
        <v>0</v>
      </c>
      <c r="CR56" s="16">
        <f t="shared" si="3"/>
        <v>61.72</v>
      </c>
    </row>
    <row r="57" spans="1:96" x14ac:dyDescent="0.25">
      <c r="A57">
        <v>48</v>
      </c>
      <c r="B57" t="s">
        <v>306</v>
      </c>
      <c r="C57">
        <v>10</v>
      </c>
      <c r="D57">
        <v>0</v>
      </c>
      <c r="E57">
        <v>6</v>
      </c>
      <c r="F57">
        <v>0</v>
      </c>
      <c r="G57" t="s">
        <v>92</v>
      </c>
      <c r="H57" t="s">
        <v>92</v>
      </c>
      <c r="I57">
        <v>6</v>
      </c>
      <c r="J57">
        <v>0</v>
      </c>
      <c r="K57" t="s">
        <v>92</v>
      </c>
      <c r="L57" t="s">
        <v>92</v>
      </c>
      <c r="M57">
        <v>53.92</v>
      </c>
      <c r="N57" t="s">
        <v>241</v>
      </c>
      <c r="O57">
        <v>25</v>
      </c>
      <c r="P57">
        <v>6</v>
      </c>
      <c r="Q57">
        <v>1</v>
      </c>
      <c r="R57">
        <v>0</v>
      </c>
      <c r="S57">
        <v>0</v>
      </c>
      <c r="T57">
        <v>1</v>
      </c>
      <c r="U57">
        <v>1</v>
      </c>
      <c r="V57">
        <v>0</v>
      </c>
      <c r="W57">
        <v>0</v>
      </c>
      <c r="X57">
        <v>16</v>
      </c>
      <c r="Y57">
        <v>13</v>
      </c>
      <c r="Z57">
        <v>14</v>
      </c>
      <c r="AA57">
        <v>11</v>
      </c>
      <c r="AB57">
        <v>3</v>
      </c>
      <c r="AC57">
        <v>0</v>
      </c>
      <c r="AD57">
        <v>0</v>
      </c>
      <c r="AE57">
        <v>0</v>
      </c>
      <c r="AF57">
        <v>0</v>
      </c>
      <c r="AG57" t="s">
        <v>307</v>
      </c>
      <c r="AH57">
        <v>2</v>
      </c>
      <c r="AI57">
        <v>45</v>
      </c>
      <c r="AJ57">
        <v>26</v>
      </c>
      <c r="AK57">
        <v>5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2</v>
      </c>
      <c r="AR57">
        <v>0</v>
      </c>
      <c r="AS57">
        <v>0</v>
      </c>
      <c r="AT57">
        <v>0</v>
      </c>
      <c r="AU57">
        <v>1</v>
      </c>
      <c r="AV57">
        <v>1</v>
      </c>
      <c r="AW57">
        <v>1</v>
      </c>
      <c r="AX57">
        <v>0</v>
      </c>
      <c r="AY57">
        <v>0</v>
      </c>
      <c r="AZ57" t="s">
        <v>308</v>
      </c>
      <c r="BA57">
        <v>37</v>
      </c>
      <c r="BB57">
        <v>22</v>
      </c>
      <c r="BC57">
        <v>14</v>
      </c>
      <c r="BD57">
        <v>5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7</v>
      </c>
      <c r="BK57">
        <v>0</v>
      </c>
      <c r="BL57">
        <v>3</v>
      </c>
      <c r="BM57">
        <v>0</v>
      </c>
      <c r="BN57">
        <v>1</v>
      </c>
      <c r="BO57">
        <v>1</v>
      </c>
      <c r="BP57">
        <v>4</v>
      </c>
      <c r="BQ57">
        <v>0</v>
      </c>
      <c r="BR57">
        <v>0</v>
      </c>
      <c r="BS57" t="s">
        <v>309</v>
      </c>
      <c r="BT57">
        <v>8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1</v>
      </c>
      <c r="CD57">
        <v>2</v>
      </c>
      <c r="CE57">
        <v>11</v>
      </c>
      <c r="CF57">
        <v>7</v>
      </c>
      <c r="CG57">
        <v>56</v>
      </c>
      <c r="CH57">
        <v>0</v>
      </c>
      <c r="CI57">
        <v>0</v>
      </c>
      <c r="CJ57">
        <v>0</v>
      </c>
      <c r="CK57">
        <v>0</v>
      </c>
      <c r="CL57">
        <v>53.91</v>
      </c>
      <c r="CM57">
        <v>54.75</v>
      </c>
      <c r="CN57" t="s">
        <v>97</v>
      </c>
      <c r="CO57" s="17">
        <f t="shared" si="1"/>
        <v>-1.8549434242265406E-4</v>
      </c>
      <c r="CP57" s="17">
        <f t="shared" si="2"/>
        <v>1.5342465753424683E-2</v>
      </c>
      <c r="CR57" s="16">
        <f t="shared" si="3"/>
        <v>54.737112328767118</v>
      </c>
    </row>
    <row r="58" spans="1:96" x14ac:dyDescent="0.25">
      <c r="A58">
        <v>49</v>
      </c>
      <c r="B58" t="s">
        <v>310</v>
      </c>
      <c r="C58">
        <v>9</v>
      </c>
      <c r="D58">
        <v>0</v>
      </c>
      <c r="E58">
        <v>6</v>
      </c>
      <c r="F58">
        <v>0</v>
      </c>
      <c r="G58" t="s">
        <v>92</v>
      </c>
      <c r="H58" t="s">
        <v>92</v>
      </c>
      <c r="I58">
        <v>6</v>
      </c>
      <c r="J58">
        <v>0</v>
      </c>
      <c r="K58" t="s">
        <v>92</v>
      </c>
      <c r="L58" t="s">
        <v>92</v>
      </c>
      <c r="M58">
        <v>58.48</v>
      </c>
      <c r="N58" t="s">
        <v>241</v>
      </c>
      <c r="O58">
        <v>20</v>
      </c>
      <c r="P58">
        <v>32</v>
      </c>
      <c r="Q58">
        <v>13</v>
      </c>
      <c r="R58">
        <v>2</v>
      </c>
      <c r="S58">
        <v>9</v>
      </c>
      <c r="T58">
        <v>2</v>
      </c>
      <c r="U58">
        <v>24</v>
      </c>
      <c r="V58">
        <v>2</v>
      </c>
      <c r="W58">
        <v>9</v>
      </c>
      <c r="X58">
        <v>3</v>
      </c>
      <c r="Y58">
        <v>1</v>
      </c>
      <c r="Z58">
        <v>2</v>
      </c>
      <c r="AA58">
        <v>3</v>
      </c>
      <c r="AB58">
        <v>16</v>
      </c>
      <c r="AC58">
        <v>1</v>
      </c>
      <c r="AD58">
        <v>21</v>
      </c>
      <c r="AE58">
        <v>1</v>
      </c>
      <c r="AF58">
        <v>0</v>
      </c>
      <c r="AG58" t="s">
        <v>311</v>
      </c>
      <c r="AH58">
        <v>9</v>
      </c>
      <c r="AI58">
        <v>17</v>
      </c>
      <c r="AJ58">
        <v>41</v>
      </c>
      <c r="AK58">
        <v>16</v>
      </c>
      <c r="AL58">
        <v>0</v>
      </c>
      <c r="AM58">
        <v>1</v>
      </c>
      <c r="AN58">
        <v>4</v>
      </c>
      <c r="AO58">
        <v>0</v>
      </c>
      <c r="AP58">
        <v>0</v>
      </c>
      <c r="AQ58">
        <v>4</v>
      </c>
      <c r="AR58">
        <v>1</v>
      </c>
      <c r="AS58">
        <v>0</v>
      </c>
      <c r="AT58">
        <v>0</v>
      </c>
      <c r="AU58">
        <v>0</v>
      </c>
      <c r="AV58">
        <v>1</v>
      </c>
      <c r="AW58">
        <v>1</v>
      </c>
      <c r="AX58">
        <v>0</v>
      </c>
      <c r="AY58">
        <v>0</v>
      </c>
      <c r="AZ58" t="s">
        <v>151</v>
      </c>
      <c r="BA58">
        <v>4</v>
      </c>
      <c r="BB58">
        <v>4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1</v>
      </c>
      <c r="BK58">
        <v>0</v>
      </c>
      <c r="BL58">
        <v>1</v>
      </c>
      <c r="BM58">
        <v>1</v>
      </c>
      <c r="BN58">
        <v>73</v>
      </c>
      <c r="BO58">
        <v>0</v>
      </c>
      <c r="BP58">
        <v>0</v>
      </c>
      <c r="BQ58">
        <v>0</v>
      </c>
      <c r="BR58">
        <v>0</v>
      </c>
      <c r="BS58" t="s">
        <v>312</v>
      </c>
      <c r="BT58">
        <v>4</v>
      </c>
      <c r="BU58">
        <v>13</v>
      </c>
      <c r="BV58">
        <v>6</v>
      </c>
      <c r="BW58">
        <v>1</v>
      </c>
      <c r="BX58">
        <v>60</v>
      </c>
      <c r="BY58">
        <v>1</v>
      </c>
      <c r="BZ58">
        <v>1</v>
      </c>
      <c r="CA58">
        <v>0</v>
      </c>
      <c r="CB58">
        <v>0</v>
      </c>
      <c r="CC58">
        <v>3</v>
      </c>
      <c r="CD58">
        <v>0</v>
      </c>
      <c r="CE58">
        <v>1</v>
      </c>
      <c r="CF58">
        <v>0</v>
      </c>
      <c r="CG58">
        <v>4</v>
      </c>
      <c r="CH58">
        <v>2</v>
      </c>
      <c r="CI58">
        <v>5</v>
      </c>
      <c r="CJ58">
        <v>1</v>
      </c>
      <c r="CK58">
        <v>5</v>
      </c>
      <c r="CL58">
        <v>57.62</v>
      </c>
      <c r="CM58">
        <v>57.62</v>
      </c>
      <c r="CN58" t="s">
        <v>97</v>
      </c>
      <c r="CO58" s="17">
        <f t="shared" si="1"/>
        <v>-1.4925373134328401E-2</v>
      </c>
      <c r="CP58" s="17">
        <f t="shared" si="2"/>
        <v>0</v>
      </c>
      <c r="CR58" s="16">
        <f t="shared" si="3"/>
        <v>57.62</v>
      </c>
    </row>
    <row r="59" spans="1:96" x14ac:dyDescent="0.25">
      <c r="A59">
        <v>50</v>
      </c>
      <c r="B59" t="s">
        <v>313</v>
      </c>
      <c r="C59">
        <v>9</v>
      </c>
      <c r="D59">
        <v>0</v>
      </c>
      <c r="E59">
        <v>5</v>
      </c>
      <c r="F59">
        <v>1</v>
      </c>
      <c r="G59" t="s">
        <v>92</v>
      </c>
      <c r="H59" t="s">
        <v>92</v>
      </c>
      <c r="I59">
        <v>6</v>
      </c>
      <c r="J59">
        <v>0</v>
      </c>
      <c r="K59" t="s">
        <v>92</v>
      </c>
      <c r="L59" t="s">
        <v>92</v>
      </c>
      <c r="M59">
        <v>49.82</v>
      </c>
      <c r="N59" t="s">
        <v>241</v>
      </c>
      <c r="O59">
        <v>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4</v>
      </c>
      <c r="Y59">
        <v>0</v>
      </c>
      <c r="Z59">
        <v>3</v>
      </c>
      <c r="AA59">
        <v>2</v>
      </c>
      <c r="AB59">
        <v>72</v>
      </c>
      <c r="AC59">
        <v>0</v>
      </c>
      <c r="AD59">
        <v>0</v>
      </c>
      <c r="AE59">
        <v>0</v>
      </c>
      <c r="AF59">
        <v>0</v>
      </c>
      <c r="AG59" t="s">
        <v>314</v>
      </c>
      <c r="AH59">
        <v>22</v>
      </c>
      <c r="AI59">
        <v>11</v>
      </c>
      <c r="AJ59">
        <v>9</v>
      </c>
      <c r="AK59">
        <v>5</v>
      </c>
      <c r="AL59">
        <v>0</v>
      </c>
      <c r="AM59">
        <v>1</v>
      </c>
      <c r="AN59">
        <v>14</v>
      </c>
      <c r="AO59">
        <v>0</v>
      </c>
      <c r="AP59">
        <v>0</v>
      </c>
      <c r="AQ59">
        <v>6</v>
      </c>
      <c r="AR59">
        <v>4</v>
      </c>
      <c r="AS59">
        <v>6</v>
      </c>
      <c r="AT59">
        <v>3</v>
      </c>
      <c r="AU59">
        <v>37</v>
      </c>
      <c r="AV59">
        <v>1</v>
      </c>
      <c r="AW59">
        <v>32</v>
      </c>
      <c r="AX59">
        <v>0</v>
      </c>
      <c r="AY59">
        <v>0</v>
      </c>
      <c r="AZ59" t="s">
        <v>315</v>
      </c>
      <c r="BA59">
        <v>2</v>
      </c>
      <c r="BB59">
        <v>1</v>
      </c>
      <c r="BC59">
        <v>0</v>
      </c>
      <c r="BD59">
        <v>1</v>
      </c>
      <c r="BE59">
        <v>3</v>
      </c>
      <c r="BF59">
        <v>1</v>
      </c>
      <c r="BG59">
        <v>4</v>
      </c>
      <c r="BH59">
        <v>1</v>
      </c>
      <c r="BI59">
        <v>3</v>
      </c>
      <c r="BJ59">
        <v>0</v>
      </c>
      <c r="BK59">
        <v>0</v>
      </c>
      <c r="BL59">
        <v>1</v>
      </c>
      <c r="BM59">
        <v>1</v>
      </c>
      <c r="BN59">
        <v>80</v>
      </c>
      <c r="BO59">
        <v>0</v>
      </c>
      <c r="BP59">
        <v>0</v>
      </c>
      <c r="BQ59">
        <v>0</v>
      </c>
      <c r="BR59">
        <v>0</v>
      </c>
      <c r="BS59" t="s">
        <v>316</v>
      </c>
      <c r="BT59">
        <v>4</v>
      </c>
      <c r="BU59">
        <v>10</v>
      </c>
      <c r="BV59">
        <v>13</v>
      </c>
      <c r="BW59">
        <v>14</v>
      </c>
      <c r="BX59">
        <v>47</v>
      </c>
      <c r="BY59">
        <v>0</v>
      </c>
      <c r="BZ59">
        <v>0</v>
      </c>
      <c r="CA59">
        <v>0</v>
      </c>
      <c r="CB59">
        <v>0</v>
      </c>
      <c r="CC59">
        <v>1</v>
      </c>
      <c r="CD59">
        <v>1</v>
      </c>
      <c r="CE59">
        <v>0</v>
      </c>
      <c r="CF59">
        <v>0</v>
      </c>
      <c r="CG59">
        <v>4</v>
      </c>
      <c r="CH59">
        <v>1</v>
      </c>
      <c r="CI59">
        <v>5</v>
      </c>
      <c r="CJ59">
        <v>1</v>
      </c>
      <c r="CK59">
        <v>5</v>
      </c>
      <c r="CL59">
        <v>49.75</v>
      </c>
      <c r="CM59">
        <v>50.52</v>
      </c>
      <c r="CN59" t="s">
        <v>97</v>
      </c>
      <c r="CO59" s="17">
        <f t="shared" si="1"/>
        <v>-1.4070351758794786E-3</v>
      </c>
      <c r="CP59" s="17">
        <f t="shared" si="2"/>
        <v>1.5241488519398327E-2</v>
      </c>
      <c r="CR59" s="16">
        <f t="shared" si="3"/>
        <v>50.508264053840065</v>
      </c>
    </row>
    <row r="60" spans="1:96" x14ac:dyDescent="0.25">
      <c r="A60">
        <v>51</v>
      </c>
      <c r="B60" t="s">
        <v>317</v>
      </c>
      <c r="C60">
        <v>9</v>
      </c>
      <c r="D60">
        <v>0</v>
      </c>
      <c r="E60">
        <v>5</v>
      </c>
      <c r="F60">
        <v>1</v>
      </c>
      <c r="G60" t="s">
        <v>92</v>
      </c>
      <c r="H60" t="s">
        <v>92</v>
      </c>
      <c r="I60">
        <v>6</v>
      </c>
      <c r="J60">
        <v>0</v>
      </c>
      <c r="K60" t="s">
        <v>92</v>
      </c>
      <c r="L60" t="s">
        <v>92</v>
      </c>
      <c r="M60">
        <v>49.12</v>
      </c>
      <c r="N60" t="s">
        <v>318</v>
      </c>
      <c r="O60">
        <v>40</v>
      </c>
      <c r="P60">
        <v>6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11</v>
      </c>
      <c r="Y60">
        <v>28</v>
      </c>
      <c r="Z60">
        <v>8</v>
      </c>
      <c r="AA60">
        <v>2</v>
      </c>
      <c r="AB60">
        <v>1</v>
      </c>
      <c r="AC60">
        <v>0</v>
      </c>
      <c r="AD60">
        <v>0</v>
      </c>
      <c r="AE60">
        <v>0</v>
      </c>
      <c r="AF60">
        <v>0</v>
      </c>
      <c r="AG60" t="s">
        <v>319</v>
      </c>
      <c r="AH60">
        <v>35</v>
      </c>
      <c r="AI60">
        <v>39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12</v>
      </c>
      <c r="AR60">
        <v>0</v>
      </c>
      <c r="AS60">
        <v>3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 t="s">
        <v>320</v>
      </c>
      <c r="BA60">
        <v>42</v>
      </c>
      <c r="BB60">
        <v>39</v>
      </c>
      <c r="BC60">
        <v>8</v>
      </c>
      <c r="BD60">
        <v>0</v>
      </c>
      <c r="BE60">
        <v>0</v>
      </c>
      <c r="BF60">
        <v>1</v>
      </c>
      <c r="BG60">
        <v>8</v>
      </c>
      <c r="BH60">
        <v>0</v>
      </c>
      <c r="BI60">
        <v>0</v>
      </c>
      <c r="BJ60">
        <v>10</v>
      </c>
      <c r="BK60">
        <v>0</v>
      </c>
      <c r="BL60">
        <v>0</v>
      </c>
      <c r="BM60">
        <v>0</v>
      </c>
      <c r="BN60">
        <v>1</v>
      </c>
      <c r="BO60">
        <v>0</v>
      </c>
      <c r="BP60">
        <v>0</v>
      </c>
      <c r="BQ60">
        <v>0</v>
      </c>
      <c r="BR60">
        <v>0</v>
      </c>
      <c r="BS60" t="s">
        <v>321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1</v>
      </c>
      <c r="CD60">
        <v>2</v>
      </c>
      <c r="CE60">
        <v>9</v>
      </c>
      <c r="CF60">
        <v>10</v>
      </c>
      <c r="CG60">
        <v>66</v>
      </c>
      <c r="CH60">
        <v>0</v>
      </c>
      <c r="CI60">
        <v>0</v>
      </c>
      <c r="CJ60">
        <v>0</v>
      </c>
      <c r="CK60">
        <v>0</v>
      </c>
      <c r="CL60">
        <v>48.9</v>
      </c>
      <c r="CM60">
        <v>49.24</v>
      </c>
      <c r="CN60" t="s">
        <v>103</v>
      </c>
      <c r="CO60" s="17">
        <f t="shared" si="1"/>
        <v>-4.4989775051125225E-3</v>
      </c>
      <c r="CP60" s="17">
        <f t="shared" si="2"/>
        <v>6.9049553208774261E-3</v>
      </c>
      <c r="CR60" s="16">
        <f t="shared" si="3"/>
        <v>49.237652315190907</v>
      </c>
    </row>
    <row r="61" spans="1:96" x14ac:dyDescent="0.25">
      <c r="A61">
        <v>52</v>
      </c>
      <c r="B61" t="s">
        <v>322</v>
      </c>
      <c r="C61">
        <v>9</v>
      </c>
      <c r="D61">
        <v>0</v>
      </c>
      <c r="E61">
        <v>6</v>
      </c>
      <c r="F61">
        <v>0</v>
      </c>
      <c r="G61" t="s">
        <v>92</v>
      </c>
      <c r="H61" t="s">
        <v>92</v>
      </c>
      <c r="I61">
        <v>6</v>
      </c>
      <c r="J61">
        <v>0</v>
      </c>
      <c r="K61" t="s">
        <v>92</v>
      </c>
      <c r="L61" t="s">
        <v>92</v>
      </c>
      <c r="M61">
        <v>52.76</v>
      </c>
      <c r="N61" t="s">
        <v>241</v>
      </c>
      <c r="O61">
        <v>9</v>
      </c>
      <c r="P61">
        <v>5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</v>
      </c>
      <c r="Y61">
        <v>2</v>
      </c>
      <c r="Z61">
        <v>0</v>
      </c>
      <c r="AA61">
        <v>1</v>
      </c>
      <c r="AB61">
        <v>62</v>
      </c>
      <c r="AC61">
        <v>0</v>
      </c>
      <c r="AD61">
        <v>0</v>
      </c>
      <c r="AE61">
        <v>0</v>
      </c>
      <c r="AF61">
        <v>0</v>
      </c>
      <c r="AG61" t="s">
        <v>323</v>
      </c>
      <c r="AH61">
        <v>26</v>
      </c>
      <c r="AI61">
        <v>34</v>
      </c>
      <c r="AJ61">
        <v>2</v>
      </c>
      <c r="AK61">
        <v>0</v>
      </c>
      <c r="AL61">
        <v>0</v>
      </c>
      <c r="AM61">
        <v>1</v>
      </c>
      <c r="AN61">
        <v>2</v>
      </c>
      <c r="AO61">
        <v>0</v>
      </c>
      <c r="AP61">
        <v>0</v>
      </c>
      <c r="AQ61">
        <v>6</v>
      </c>
      <c r="AR61">
        <v>2</v>
      </c>
      <c r="AS61">
        <v>3</v>
      </c>
      <c r="AT61">
        <v>1</v>
      </c>
      <c r="AU61">
        <v>18</v>
      </c>
      <c r="AV61">
        <v>1</v>
      </c>
      <c r="AW61">
        <v>0</v>
      </c>
      <c r="AX61">
        <v>0</v>
      </c>
      <c r="AY61">
        <v>0</v>
      </c>
      <c r="AZ61" t="s">
        <v>324</v>
      </c>
      <c r="BA61">
        <v>0</v>
      </c>
      <c r="BB61">
        <v>1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77</v>
      </c>
      <c r="BO61">
        <v>0</v>
      </c>
      <c r="BP61">
        <v>0</v>
      </c>
      <c r="BQ61">
        <v>0</v>
      </c>
      <c r="BR61">
        <v>0</v>
      </c>
      <c r="BS61" t="s">
        <v>325</v>
      </c>
      <c r="BT61">
        <v>9</v>
      </c>
      <c r="BU61">
        <v>11</v>
      </c>
      <c r="BV61">
        <v>6</v>
      </c>
      <c r="BW61">
        <v>18</v>
      </c>
      <c r="BX61">
        <v>31</v>
      </c>
      <c r="BY61">
        <v>0</v>
      </c>
      <c r="BZ61">
        <v>0</v>
      </c>
      <c r="CA61">
        <v>0</v>
      </c>
      <c r="CB61">
        <v>0</v>
      </c>
      <c r="CC61">
        <v>2</v>
      </c>
      <c r="CD61">
        <v>2</v>
      </c>
      <c r="CE61">
        <v>4</v>
      </c>
      <c r="CF61">
        <v>3</v>
      </c>
      <c r="CG61">
        <v>0</v>
      </c>
      <c r="CH61">
        <v>1</v>
      </c>
      <c r="CI61">
        <v>9</v>
      </c>
      <c r="CJ61">
        <v>1</v>
      </c>
      <c r="CK61">
        <v>9</v>
      </c>
      <c r="CL61">
        <v>53.02</v>
      </c>
      <c r="CM61">
        <v>55.43</v>
      </c>
      <c r="CN61" t="s">
        <v>97</v>
      </c>
      <c r="CO61" s="17">
        <f t="shared" si="1"/>
        <v>4.9038098830630483E-3</v>
      </c>
      <c r="CP61" s="17">
        <f t="shared" si="2"/>
        <v>4.3478260869565188E-2</v>
      </c>
      <c r="CR61" s="16">
        <f t="shared" si="3"/>
        <v>55.325217391304349</v>
      </c>
    </row>
    <row r="62" spans="1:96" x14ac:dyDescent="0.25">
      <c r="CR62" s="16">
        <f t="shared" si="3"/>
        <v>0</v>
      </c>
    </row>
    <row r="63" spans="1:96" x14ac:dyDescent="0.25">
      <c r="CR63" s="16">
        <f t="shared" si="3"/>
        <v>0</v>
      </c>
    </row>
    <row r="64" spans="1:96" x14ac:dyDescent="0.25">
      <c r="CR64" s="16">
        <f t="shared" si="3"/>
        <v>0</v>
      </c>
    </row>
    <row r="65" spans="96:96" x14ac:dyDescent="0.25">
      <c r="CR65" s="16">
        <f t="shared" si="3"/>
        <v>0</v>
      </c>
    </row>
    <row r="66" spans="96:96" x14ac:dyDescent="0.25">
      <c r="CR66" s="16">
        <f t="shared" si="3"/>
        <v>0</v>
      </c>
    </row>
    <row r="67" spans="96:96" x14ac:dyDescent="0.25">
      <c r="CR67" s="16">
        <f t="shared" si="3"/>
        <v>0</v>
      </c>
    </row>
    <row r="68" spans="96:96" x14ac:dyDescent="0.25">
      <c r="CR68" s="16">
        <f t="shared" si="3"/>
        <v>0</v>
      </c>
    </row>
    <row r="69" spans="96:96" x14ac:dyDescent="0.25">
      <c r="CR69" s="16">
        <f t="shared" si="3"/>
        <v>0</v>
      </c>
    </row>
    <row r="70" spans="96:96" x14ac:dyDescent="0.25">
      <c r="CR70" s="16">
        <f t="shared" si="3"/>
        <v>0</v>
      </c>
    </row>
    <row r="71" spans="96:96" x14ac:dyDescent="0.25">
      <c r="CR71" s="16">
        <f t="shared" si="3"/>
        <v>0</v>
      </c>
    </row>
    <row r="72" spans="96:96" x14ac:dyDescent="0.25">
      <c r="CR72" s="16">
        <f t="shared" si="3"/>
        <v>0</v>
      </c>
    </row>
    <row r="73" spans="96:96" x14ac:dyDescent="0.25">
      <c r="CR73" s="16">
        <f t="shared" si="3"/>
        <v>0</v>
      </c>
    </row>
    <row r="74" spans="96:96" x14ac:dyDescent="0.25">
      <c r="CR74" s="16">
        <f t="shared" ref="CR74:CR137" si="4">CL74*CP74+CL74</f>
        <v>0</v>
      </c>
    </row>
    <row r="75" spans="96:96" x14ac:dyDescent="0.25">
      <c r="CR75" s="16">
        <f t="shared" si="4"/>
        <v>0</v>
      </c>
    </row>
    <row r="76" spans="96:96" x14ac:dyDescent="0.25">
      <c r="CR76" s="16">
        <f t="shared" si="4"/>
        <v>0</v>
      </c>
    </row>
    <row r="77" spans="96:96" x14ac:dyDescent="0.25">
      <c r="CR77" s="16">
        <f t="shared" si="4"/>
        <v>0</v>
      </c>
    </row>
    <row r="78" spans="96:96" x14ac:dyDescent="0.25">
      <c r="CR78" s="16">
        <f t="shared" si="4"/>
        <v>0</v>
      </c>
    </row>
    <row r="79" spans="96:96" x14ac:dyDescent="0.25">
      <c r="CR79" s="16">
        <f t="shared" si="4"/>
        <v>0</v>
      </c>
    </row>
    <row r="80" spans="96:96" x14ac:dyDescent="0.25">
      <c r="CR80" s="16">
        <f t="shared" si="4"/>
        <v>0</v>
      </c>
    </row>
    <row r="81" spans="96:96" x14ac:dyDescent="0.25">
      <c r="CR81" s="16">
        <f t="shared" si="4"/>
        <v>0</v>
      </c>
    </row>
    <row r="82" spans="96:96" x14ac:dyDescent="0.25">
      <c r="CR82" s="16">
        <f t="shared" si="4"/>
        <v>0</v>
      </c>
    </row>
    <row r="83" spans="96:96" x14ac:dyDescent="0.25">
      <c r="CR83" s="16">
        <f t="shared" si="4"/>
        <v>0</v>
      </c>
    </row>
    <row r="84" spans="96:96" x14ac:dyDescent="0.25">
      <c r="CR84" s="16">
        <f t="shared" si="4"/>
        <v>0</v>
      </c>
    </row>
    <row r="85" spans="96:96" x14ac:dyDescent="0.25">
      <c r="CR85" s="16">
        <f t="shared" si="4"/>
        <v>0</v>
      </c>
    </row>
    <row r="86" spans="96:96" x14ac:dyDescent="0.25">
      <c r="CR86" s="16">
        <f t="shared" si="4"/>
        <v>0</v>
      </c>
    </row>
    <row r="87" spans="96:96" x14ac:dyDescent="0.25">
      <c r="CR87" s="16">
        <f t="shared" si="4"/>
        <v>0</v>
      </c>
    </row>
    <row r="88" spans="96:96" x14ac:dyDescent="0.25">
      <c r="CR88" s="16">
        <f t="shared" si="4"/>
        <v>0</v>
      </c>
    </row>
    <row r="89" spans="96:96" x14ac:dyDescent="0.25">
      <c r="CR89" s="16">
        <f t="shared" si="4"/>
        <v>0</v>
      </c>
    </row>
    <row r="90" spans="96:96" x14ac:dyDescent="0.25">
      <c r="CR90" s="16">
        <f t="shared" si="4"/>
        <v>0</v>
      </c>
    </row>
    <row r="91" spans="96:96" x14ac:dyDescent="0.25">
      <c r="CR91" s="16">
        <f t="shared" si="4"/>
        <v>0</v>
      </c>
    </row>
    <row r="92" spans="96:96" x14ac:dyDescent="0.25">
      <c r="CR92" s="16">
        <f t="shared" si="4"/>
        <v>0</v>
      </c>
    </row>
    <row r="93" spans="96:96" x14ac:dyDescent="0.25">
      <c r="CR93" s="16">
        <f t="shared" si="4"/>
        <v>0</v>
      </c>
    </row>
    <row r="94" spans="96:96" x14ac:dyDescent="0.25">
      <c r="CR94" s="16">
        <f t="shared" si="4"/>
        <v>0</v>
      </c>
    </row>
    <row r="95" spans="96:96" x14ac:dyDescent="0.25">
      <c r="CR95" s="16">
        <f t="shared" si="4"/>
        <v>0</v>
      </c>
    </row>
    <row r="96" spans="96:96" x14ac:dyDescent="0.25">
      <c r="CR96" s="16">
        <f t="shared" si="4"/>
        <v>0</v>
      </c>
    </row>
    <row r="97" spans="96:96" x14ac:dyDescent="0.25">
      <c r="CR97" s="16">
        <f t="shared" si="4"/>
        <v>0</v>
      </c>
    </row>
    <row r="98" spans="96:96" x14ac:dyDescent="0.25">
      <c r="CR98" s="16">
        <f t="shared" si="4"/>
        <v>0</v>
      </c>
    </row>
    <row r="99" spans="96:96" x14ac:dyDescent="0.25">
      <c r="CR99" s="16">
        <f t="shared" si="4"/>
        <v>0</v>
      </c>
    </row>
    <row r="100" spans="96:96" x14ac:dyDescent="0.25">
      <c r="CR100" s="16">
        <f t="shared" si="4"/>
        <v>0</v>
      </c>
    </row>
    <row r="101" spans="96:96" x14ac:dyDescent="0.25">
      <c r="CR101" s="16">
        <f t="shared" si="4"/>
        <v>0</v>
      </c>
    </row>
    <row r="102" spans="96:96" x14ac:dyDescent="0.25">
      <c r="CR102" s="16">
        <f t="shared" si="4"/>
        <v>0</v>
      </c>
    </row>
    <row r="103" spans="96:96" x14ac:dyDescent="0.25">
      <c r="CR103" s="16">
        <f t="shared" si="4"/>
        <v>0</v>
      </c>
    </row>
    <row r="104" spans="96:96" x14ac:dyDescent="0.25">
      <c r="CR104" s="16">
        <f t="shared" si="4"/>
        <v>0</v>
      </c>
    </row>
    <row r="105" spans="96:96" x14ac:dyDescent="0.25">
      <c r="CR105" s="16">
        <f t="shared" si="4"/>
        <v>0</v>
      </c>
    </row>
    <row r="106" spans="96:96" x14ac:dyDescent="0.25">
      <c r="CR106" s="16">
        <f t="shared" si="4"/>
        <v>0</v>
      </c>
    </row>
    <row r="107" spans="96:96" x14ac:dyDescent="0.25">
      <c r="CR107" s="16">
        <f t="shared" si="4"/>
        <v>0</v>
      </c>
    </row>
    <row r="108" spans="96:96" x14ac:dyDescent="0.25">
      <c r="CR108" s="16">
        <f t="shared" si="4"/>
        <v>0</v>
      </c>
    </row>
    <row r="109" spans="96:96" x14ac:dyDescent="0.25">
      <c r="CR109" s="16">
        <f t="shared" si="4"/>
        <v>0</v>
      </c>
    </row>
    <row r="110" spans="96:96" x14ac:dyDescent="0.25">
      <c r="CR110" s="16">
        <f t="shared" si="4"/>
        <v>0</v>
      </c>
    </row>
    <row r="111" spans="96:96" x14ac:dyDescent="0.25">
      <c r="CR111" s="16">
        <f t="shared" si="4"/>
        <v>0</v>
      </c>
    </row>
    <row r="112" spans="96:96" x14ac:dyDescent="0.25">
      <c r="CR112" s="16">
        <f t="shared" si="4"/>
        <v>0</v>
      </c>
    </row>
    <row r="113" spans="96:96" x14ac:dyDescent="0.25">
      <c r="CR113" s="16">
        <f t="shared" si="4"/>
        <v>0</v>
      </c>
    </row>
    <row r="114" spans="96:96" x14ac:dyDescent="0.25">
      <c r="CR114" s="16">
        <f t="shared" si="4"/>
        <v>0</v>
      </c>
    </row>
    <row r="115" spans="96:96" x14ac:dyDescent="0.25">
      <c r="CR115" s="16">
        <f t="shared" si="4"/>
        <v>0</v>
      </c>
    </row>
    <row r="116" spans="96:96" x14ac:dyDescent="0.25">
      <c r="CR116" s="16">
        <f t="shared" si="4"/>
        <v>0</v>
      </c>
    </row>
    <row r="117" spans="96:96" x14ac:dyDescent="0.25">
      <c r="CR117" s="16">
        <f t="shared" si="4"/>
        <v>0</v>
      </c>
    </row>
    <row r="118" spans="96:96" x14ac:dyDescent="0.25">
      <c r="CR118" s="16">
        <f t="shared" si="4"/>
        <v>0</v>
      </c>
    </row>
    <row r="119" spans="96:96" x14ac:dyDescent="0.25">
      <c r="CR119" s="16">
        <f t="shared" si="4"/>
        <v>0</v>
      </c>
    </row>
    <row r="120" spans="96:96" x14ac:dyDescent="0.25">
      <c r="CR120" s="16">
        <f t="shared" si="4"/>
        <v>0</v>
      </c>
    </row>
    <row r="121" spans="96:96" x14ac:dyDescent="0.25">
      <c r="CR121" s="16">
        <f t="shared" si="4"/>
        <v>0</v>
      </c>
    </row>
    <row r="122" spans="96:96" x14ac:dyDescent="0.25">
      <c r="CR122" s="16">
        <f t="shared" si="4"/>
        <v>0</v>
      </c>
    </row>
    <row r="123" spans="96:96" x14ac:dyDescent="0.25">
      <c r="CR123" s="16">
        <f t="shared" si="4"/>
        <v>0</v>
      </c>
    </row>
    <row r="124" spans="96:96" x14ac:dyDescent="0.25">
      <c r="CR124" s="16">
        <f t="shared" si="4"/>
        <v>0</v>
      </c>
    </row>
    <row r="125" spans="96:96" x14ac:dyDescent="0.25">
      <c r="CR125" s="16">
        <f t="shared" si="4"/>
        <v>0</v>
      </c>
    </row>
    <row r="126" spans="96:96" x14ac:dyDescent="0.25">
      <c r="CR126" s="16">
        <f t="shared" si="4"/>
        <v>0</v>
      </c>
    </row>
    <row r="127" spans="96:96" x14ac:dyDescent="0.25">
      <c r="CR127" s="16">
        <f t="shared" si="4"/>
        <v>0</v>
      </c>
    </row>
    <row r="128" spans="96:96" x14ac:dyDescent="0.25">
      <c r="CR128" s="16">
        <f t="shared" si="4"/>
        <v>0</v>
      </c>
    </row>
    <row r="129" spans="96:96" x14ac:dyDescent="0.25">
      <c r="CR129" s="16">
        <f t="shared" si="4"/>
        <v>0</v>
      </c>
    </row>
    <row r="130" spans="96:96" x14ac:dyDescent="0.25">
      <c r="CR130" s="16">
        <f t="shared" si="4"/>
        <v>0</v>
      </c>
    </row>
    <row r="131" spans="96:96" x14ac:dyDescent="0.25">
      <c r="CR131" s="16">
        <f t="shared" si="4"/>
        <v>0</v>
      </c>
    </row>
    <row r="132" spans="96:96" x14ac:dyDescent="0.25">
      <c r="CR132" s="16">
        <f t="shared" si="4"/>
        <v>0</v>
      </c>
    </row>
    <row r="133" spans="96:96" x14ac:dyDescent="0.25">
      <c r="CR133" s="16">
        <f t="shared" si="4"/>
        <v>0</v>
      </c>
    </row>
    <row r="134" spans="96:96" x14ac:dyDescent="0.25">
      <c r="CR134" s="16">
        <f t="shared" si="4"/>
        <v>0</v>
      </c>
    </row>
    <row r="135" spans="96:96" x14ac:dyDescent="0.25">
      <c r="CR135" s="16">
        <f t="shared" si="4"/>
        <v>0</v>
      </c>
    </row>
    <row r="136" spans="96:96" x14ac:dyDescent="0.25">
      <c r="CR136" s="16">
        <f t="shared" si="4"/>
        <v>0</v>
      </c>
    </row>
    <row r="137" spans="96:96" x14ac:dyDescent="0.25">
      <c r="CR137" s="16">
        <f t="shared" si="4"/>
        <v>0</v>
      </c>
    </row>
    <row r="138" spans="96:96" x14ac:dyDescent="0.25">
      <c r="CR138" s="16">
        <f t="shared" ref="CR138:CR201" si="5">CL138*CP138+CL138</f>
        <v>0</v>
      </c>
    </row>
    <row r="139" spans="96:96" x14ac:dyDescent="0.25">
      <c r="CR139" s="16">
        <f t="shared" si="5"/>
        <v>0</v>
      </c>
    </row>
    <row r="140" spans="96:96" x14ac:dyDescent="0.25">
      <c r="CR140" s="16">
        <f t="shared" si="5"/>
        <v>0</v>
      </c>
    </row>
    <row r="141" spans="96:96" x14ac:dyDescent="0.25">
      <c r="CR141" s="16">
        <f t="shared" si="5"/>
        <v>0</v>
      </c>
    </row>
    <row r="142" spans="96:96" x14ac:dyDescent="0.25">
      <c r="CR142" s="16">
        <f t="shared" si="5"/>
        <v>0</v>
      </c>
    </row>
    <row r="143" spans="96:96" x14ac:dyDescent="0.25">
      <c r="CR143" s="16">
        <f t="shared" si="5"/>
        <v>0</v>
      </c>
    </row>
    <row r="144" spans="96:96" x14ac:dyDescent="0.25">
      <c r="CR144" s="16">
        <f t="shared" si="5"/>
        <v>0</v>
      </c>
    </row>
    <row r="145" spans="96:96" x14ac:dyDescent="0.25">
      <c r="CR145" s="16">
        <f t="shared" si="5"/>
        <v>0</v>
      </c>
    </row>
    <row r="146" spans="96:96" x14ac:dyDescent="0.25">
      <c r="CR146" s="16">
        <f t="shared" si="5"/>
        <v>0</v>
      </c>
    </row>
    <row r="147" spans="96:96" x14ac:dyDescent="0.25">
      <c r="CR147" s="16">
        <f t="shared" si="5"/>
        <v>0</v>
      </c>
    </row>
    <row r="148" spans="96:96" x14ac:dyDescent="0.25">
      <c r="CR148" s="16">
        <f t="shared" si="5"/>
        <v>0</v>
      </c>
    </row>
    <row r="149" spans="96:96" x14ac:dyDescent="0.25">
      <c r="CR149" s="16">
        <f t="shared" si="5"/>
        <v>0</v>
      </c>
    </row>
    <row r="150" spans="96:96" x14ac:dyDescent="0.25">
      <c r="CR150" s="16">
        <f t="shared" si="5"/>
        <v>0</v>
      </c>
    </row>
    <row r="151" spans="96:96" x14ac:dyDescent="0.25">
      <c r="CR151" s="16">
        <f t="shared" si="5"/>
        <v>0</v>
      </c>
    </row>
    <row r="152" spans="96:96" x14ac:dyDescent="0.25">
      <c r="CR152" s="16">
        <f t="shared" si="5"/>
        <v>0</v>
      </c>
    </row>
    <row r="153" spans="96:96" x14ac:dyDescent="0.25">
      <c r="CR153" s="16">
        <f t="shared" si="5"/>
        <v>0</v>
      </c>
    </row>
    <row r="154" spans="96:96" x14ac:dyDescent="0.25">
      <c r="CR154" s="16">
        <f t="shared" si="5"/>
        <v>0</v>
      </c>
    </row>
    <row r="155" spans="96:96" x14ac:dyDescent="0.25">
      <c r="CR155" s="16">
        <f t="shared" si="5"/>
        <v>0</v>
      </c>
    </row>
    <row r="156" spans="96:96" x14ac:dyDescent="0.25">
      <c r="CR156" s="16">
        <f t="shared" si="5"/>
        <v>0</v>
      </c>
    </row>
    <row r="157" spans="96:96" x14ac:dyDescent="0.25">
      <c r="CR157" s="16">
        <f t="shared" si="5"/>
        <v>0</v>
      </c>
    </row>
    <row r="158" spans="96:96" x14ac:dyDescent="0.25">
      <c r="CR158" s="16">
        <f t="shared" si="5"/>
        <v>0</v>
      </c>
    </row>
    <row r="159" spans="96:96" x14ac:dyDescent="0.25">
      <c r="CR159" s="16">
        <f t="shared" si="5"/>
        <v>0</v>
      </c>
    </row>
    <row r="160" spans="96:96" x14ac:dyDescent="0.25">
      <c r="CR160" s="16">
        <f t="shared" si="5"/>
        <v>0</v>
      </c>
    </row>
    <row r="161" spans="96:96" x14ac:dyDescent="0.25">
      <c r="CR161" s="16">
        <f t="shared" si="5"/>
        <v>0</v>
      </c>
    </row>
    <row r="162" spans="96:96" x14ac:dyDescent="0.25">
      <c r="CR162" s="16">
        <f t="shared" si="5"/>
        <v>0</v>
      </c>
    </row>
    <row r="163" spans="96:96" x14ac:dyDescent="0.25">
      <c r="CR163" s="16">
        <f t="shared" si="5"/>
        <v>0</v>
      </c>
    </row>
    <row r="164" spans="96:96" x14ac:dyDescent="0.25">
      <c r="CR164" s="16">
        <f t="shared" si="5"/>
        <v>0</v>
      </c>
    </row>
    <row r="165" spans="96:96" x14ac:dyDescent="0.25">
      <c r="CR165" s="16">
        <f t="shared" si="5"/>
        <v>0</v>
      </c>
    </row>
    <row r="166" spans="96:96" x14ac:dyDescent="0.25">
      <c r="CR166" s="16">
        <f t="shared" si="5"/>
        <v>0</v>
      </c>
    </row>
    <row r="167" spans="96:96" x14ac:dyDescent="0.25">
      <c r="CR167" s="16">
        <f t="shared" si="5"/>
        <v>0</v>
      </c>
    </row>
    <row r="168" spans="96:96" x14ac:dyDescent="0.25">
      <c r="CR168" s="16">
        <f t="shared" si="5"/>
        <v>0</v>
      </c>
    </row>
    <row r="169" spans="96:96" x14ac:dyDescent="0.25">
      <c r="CR169" s="16">
        <f t="shared" si="5"/>
        <v>0</v>
      </c>
    </row>
    <row r="170" spans="96:96" x14ac:dyDescent="0.25">
      <c r="CR170" s="16">
        <f t="shared" si="5"/>
        <v>0</v>
      </c>
    </row>
    <row r="171" spans="96:96" x14ac:dyDescent="0.25">
      <c r="CR171" s="16">
        <f t="shared" si="5"/>
        <v>0</v>
      </c>
    </row>
    <row r="172" spans="96:96" x14ac:dyDescent="0.25">
      <c r="CR172" s="16">
        <f t="shared" si="5"/>
        <v>0</v>
      </c>
    </row>
    <row r="173" spans="96:96" x14ac:dyDescent="0.25">
      <c r="CR173" s="16">
        <f t="shared" si="5"/>
        <v>0</v>
      </c>
    </row>
    <row r="174" spans="96:96" x14ac:dyDescent="0.25">
      <c r="CR174" s="16">
        <f t="shared" si="5"/>
        <v>0</v>
      </c>
    </row>
    <row r="175" spans="96:96" x14ac:dyDescent="0.25">
      <c r="CR175" s="16">
        <f t="shared" si="5"/>
        <v>0</v>
      </c>
    </row>
    <row r="176" spans="96:96" x14ac:dyDescent="0.25">
      <c r="CR176" s="16">
        <f t="shared" si="5"/>
        <v>0</v>
      </c>
    </row>
    <row r="177" spans="96:96" x14ac:dyDescent="0.25">
      <c r="CR177" s="16">
        <f t="shared" si="5"/>
        <v>0</v>
      </c>
    </row>
    <row r="178" spans="96:96" x14ac:dyDescent="0.25">
      <c r="CR178" s="16">
        <f t="shared" si="5"/>
        <v>0</v>
      </c>
    </row>
    <row r="179" spans="96:96" x14ac:dyDescent="0.25">
      <c r="CR179" s="16">
        <f t="shared" si="5"/>
        <v>0</v>
      </c>
    </row>
    <row r="180" spans="96:96" x14ac:dyDescent="0.25">
      <c r="CR180" s="16">
        <f t="shared" si="5"/>
        <v>0</v>
      </c>
    </row>
    <row r="181" spans="96:96" x14ac:dyDescent="0.25">
      <c r="CR181" s="16">
        <f t="shared" si="5"/>
        <v>0</v>
      </c>
    </row>
    <row r="182" spans="96:96" x14ac:dyDescent="0.25">
      <c r="CR182" s="16">
        <f t="shared" si="5"/>
        <v>0</v>
      </c>
    </row>
    <row r="183" spans="96:96" x14ac:dyDescent="0.25">
      <c r="CR183" s="16">
        <f t="shared" si="5"/>
        <v>0</v>
      </c>
    </row>
    <row r="184" spans="96:96" x14ac:dyDescent="0.25">
      <c r="CR184" s="16">
        <f t="shared" si="5"/>
        <v>0</v>
      </c>
    </row>
    <row r="185" spans="96:96" x14ac:dyDescent="0.25">
      <c r="CR185" s="16">
        <f t="shared" si="5"/>
        <v>0</v>
      </c>
    </row>
    <row r="186" spans="96:96" x14ac:dyDescent="0.25">
      <c r="CR186" s="16">
        <f t="shared" si="5"/>
        <v>0</v>
      </c>
    </row>
    <row r="187" spans="96:96" x14ac:dyDescent="0.25">
      <c r="CR187" s="16">
        <f t="shared" si="5"/>
        <v>0</v>
      </c>
    </row>
    <row r="188" spans="96:96" x14ac:dyDescent="0.25">
      <c r="CR188" s="16">
        <f t="shared" si="5"/>
        <v>0</v>
      </c>
    </row>
    <row r="189" spans="96:96" x14ac:dyDescent="0.25">
      <c r="CR189" s="16">
        <f t="shared" si="5"/>
        <v>0</v>
      </c>
    </row>
    <row r="190" spans="96:96" x14ac:dyDescent="0.25">
      <c r="CR190" s="16">
        <f t="shared" si="5"/>
        <v>0</v>
      </c>
    </row>
    <row r="191" spans="96:96" x14ac:dyDescent="0.25">
      <c r="CR191" s="16">
        <f t="shared" si="5"/>
        <v>0</v>
      </c>
    </row>
    <row r="192" spans="96:96" x14ac:dyDescent="0.25">
      <c r="CR192" s="16">
        <f t="shared" si="5"/>
        <v>0</v>
      </c>
    </row>
    <row r="193" spans="96:96" x14ac:dyDescent="0.25">
      <c r="CR193" s="16">
        <f t="shared" si="5"/>
        <v>0</v>
      </c>
    </row>
    <row r="194" spans="96:96" x14ac:dyDescent="0.25">
      <c r="CR194" s="16">
        <f t="shared" si="5"/>
        <v>0</v>
      </c>
    </row>
    <row r="195" spans="96:96" x14ac:dyDescent="0.25">
      <c r="CR195" s="16">
        <f t="shared" si="5"/>
        <v>0</v>
      </c>
    </row>
    <row r="196" spans="96:96" x14ac:dyDescent="0.25">
      <c r="CR196" s="16">
        <f t="shared" si="5"/>
        <v>0</v>
      </c>
    </row>
    <row r="197" spans="96:96" x14ac:dyDescent="0.25">
      <c r="CR197" s="16">
        <f t="shared" si="5"/>
        <v>0</v>
      </c>
    </row>
    <row r="198" spans="96:96" x14ac:dyDescent="0.25">
      <c r="CR198" s="16">
        <f t="shared" si="5"/>
        <v>0</v>
      </c>
    </row>
    <row r="199" spans="96:96" x14ac:dyDescent="0.25">
      <c r="CR199" s="16">
        <f t="shared" si="5"/>
        <v>0</v>
      </c>
    </row>
    <row r="200" spans="96:96" x14ac:dyDescent="0.25">
      <c r="CR200" s="16">
        <f t="shared" si="5"/>
        <v>0</v>
      </c>
    </row>
    <row r="201" spans="96:96" x14ac:dyDescent="0.25">
      <c r="CR201" s="16">
        <f t="shared" si="5"/>
        <v>0</v>
      </c>
    </row>
    <row r="202" spans="96:96" x14ac:dyDescent="0.25">
      <c r="CR202" s="16">
        <f t="shared" ref="CR202:CR252" si="6">CL202*CP202+CL202</f>
        <v>0</v>
      </c>
    </row>
    <row r="203" spans="96:96" x14ac:dyDescent="0.25">
      <c r="CR203" s="16">
        <f t="shared" si="6"/>
        <v>0</v>
      </c>
    </row>
    <row r="204" spans="96:96" x14ac:dyDescent="0.25">
      <c r="CR204" s="16">
        <f t="shared" si="6"/>
        <v>0</v>
      </c>
    </row>
    <row r="205" spans="96:96" x14ac:dyDescent="0.25">
      <c r="CR205" s="16">
        <f t="shared" si="6"/>
        <v>0</v>
      </c>
    </row>
    <row r="206" spans="96:96" x14ac:dyDescent="0.25">
      <c r="CR206" s="16">
        <f t="shared" si="6"/>
        <v>0</v>
      </c>
    </row>
    <row r="207" spans="96:96" x14ac:dyDescent="0.25">
      <c r="CR207" s="16">
        <f t="shared" si="6"/>
        <v>0</v>
      </c>
    </row>
    <row r="208" spans="96:96" x14ac:dyDescent="0.25">
      <c r="CR208" s="16">
        <f t="shared" si="6"/>
        <v>0</v>
      </c>
    </row>
    <row r="209" spans="96:96" x14ac:dyDescent="0.25">
      <c r="CR209" s="16">
        <f t="shared" si="6"/>
        <v>0</v>
      </c>
    </row>
    <row r="210" spans="96:96" x14ac:dyDescent="0.25">
      <c r="CR210" s="16">
        <f t="shared" si="6"/>
        <v>0</v>
      </c>
    </row>
    <row r="211" spans="96:96" x14ac:dyDescent="0.25">
      <c r="CR211" s="16">
        <f t="shared" si="6"/>
        <v>0</v>
      </c>
    </row>
    <row r="212" spans="96:96" x14ac:dyDescent="0.25">
      <c r="CR212" s="16">
        <f t="shared" si="6"/>
        <v>0</v>
      </c>
    </row>
    <row r="213" spans="96:96" x14ac:dyDescent="0.25">
      <c r="CR213" s="16">
        <f t="shared" si="6"/>
        <v>0</v>
      </c>
    </row>
    <row r="214" spans="96:96" x14ac:dyDescent="0.25">
      <c r="CR214" s="16">
        <f t="shared" si="6"/>
        <v>0</v>
      </c>
    </row>
    <row r="215" spans="96:96" x14ac:dyDescent="0.25">
      <c r="CR215" s="16">
        <f t="shared" si="6"/>
        <v>0</v>
      </c>
    </row>
    <row r="216" spans="96:96" x14ac:dyDescent="0.25">
      <c r="CR216" s="16">
        <f t="shared" si="6"/>
        <v>0</v>
      </c>
    </row>
    <row r="217" spans="96:96" x14ac:dyDescent="0.25">
      <c r="CR217" s="16">
        <f t="shared" si="6"/>
        <v>0</v>
      </c>
    </row>
    <row r="218" spans="96:96" x14ac:dyDescent="0.25">
      <c r="CR218" s="16">
        <f t="shared" si="6"/>
        <v>0</v>
      </c>
    </row>
    <row r="219" spans="96:96" x14ac:dyDescent="0.25">
      <c r="CR219" s="16">
        <f t="shared" si="6"/>
        <v>0</v>
      </c>
    </row>
    <row r="220" spans="96:96" x14ac:dyDescent="0.25">
      <c r="CR220" s="16">
        <f t="shared" si="6"/>
        <v>0</v>
      </c>
    </row>
    <row r="221" spans="96:96" x14ac:dyDescent="0.25">
      <c r="CR221" s="16">
        <f t="shared" si="6"/>
        <v>0</v>
      </c>
    </row>
    <row r="222" spans="96:96" x14ac:dyDescent="0.25">
      <c r="CR222" s="16">
        <f t="shared" si="6"/>
        <v>0</v>
      </c>
    </row>
    <row r="223" spans="96:96" x14ac:dyDescent="0.25">
      <c r="CR223" s="16">
        <f t="shared" si="6"/>
        <v>0</v>
      </c>
    </row>
    <row r="224" spans="96:96" x14ac:dyDescent="0.25">
      <c r="CR224" s="16">
        <f t="shared" si="6"/>
        <v>0</v>
      </c>
    </row>
    <row r="225" spans="96:96" x14ac:dyDescent="0.25">
      <c r="CR225" s="16">
        <f t="shared" si="6"/>
        <v>0</v>
      </c>
    </row>
    <row r="226" spans="96:96" x14ac:dyDescent="0.25">
      <c r="CR226" s="16">
        <f t="shared" si="6"/>
        <v>0</v>
      </c>
    </row>
    <row r="227" spans="96:96" x14ac:dyDescent="0.25">
      <c r="CR227" s="16">
        <f t="shared" si="6"/>
        <v>0</v>
      </c>
    </row>
    <row r="228" spans="96:96" x14ac:dyDescent="0.25">
      <c r="CR228" s="16">
        <f t="shared" si="6"/>
        <v>0</v>
      </c>
    </row>
    <row r="229" spans="96:96" x14ac:dyDescent="0.25">
      <c r="CR229" s="16">
        <f t="shared" si="6"/>
        <v>0</v>
      </c>
    </row>
    <row r="230" spans="96:96" x14ac:dyDescent="0.25">
      <c r="CR230" s="16">
        <f t="shared" si="6"/>
        <v>0</v>
      </c>
    </row>
    <row r="231" spans="96:96" x14ac:dyDescent="0.25">
      <c r="CR231" s="16">
        <f t="shared" si="6"/>
        <v>0</v>
      </c>
    </row>
    <row r="232" spans="96:96" x14ac:dyDescent="0.25">
      <c r="CR232" s="16">
        <f t="shared" si="6"/>
        <v>0</v>
      </c>
    </row>
    <row r="233" spans="96:96" x14ac:dyDescent="0.25">
      <c r="CR233" s="16">
        <f t="shared" si="6"/>
        <v>0</v>
      </c>
    </row>
    <row r="234" spans="96:96" x14ac:dyDescent="0.25">
      <c r="CR234" s="16">
        <f t="shared" si="6"/>
        <v>0</v>
      </c>
    </row>
    <row r="235" spans="96:96" x14ac:dyDescent="0.25">
      <c r="CR235" s="16">
        <f t="shared" si="6"/>
        <v>0</v>
      </c>
    </row>
    <row r="236" spans="96:96" x14ac:dyDescent="0.25">
      <c r="CR236" s="16">
        <f t="shared" si="6"/>
        <v>0</v>
      </c>
    </row>
    <row r="237" spans="96:96" x14ac:dyDescent="0.25">
      <c r="CR237" s="16">
        <f t="shared" si="6"/>
        <v>0</v>
      </c>
    </row>
    <row r="238" spans="96:96" x14ac:dyDescent="0.25">
      <c r="CR238" s="16">
        <f t="shared" si="6"/>
        <v>0</v>
      </c>
    </row>
    <row r="239" spans="96:96" x14ac:dyDescent="0.25">
      <c r="CR239" s="16">
        <f t="shared" si="6"/>
        <v>0</v>
      </c>
    </row>
    <row r="240" spans="96:96" x14ac:dyDescent="0.25">
      <c r="CR240" s="16">
        <f t="shared" si="6"/>
        <v>0</v>
      </c>
    </row>
    <row r="241" spans="96:96" x14ac:dyDescent="0.25">
      <c r="CR241" s="16">
        <f t="shared" si="6"/>
        <v>0</v>
      </c>
    </row>
    <row r="242" spans="96:96" x14ac:dyDescent="0.25">
      <c r="CR242" s="16">
        <f t="shared" si="6"/>
        <v>0</v>
      </c>
    </row>
    <row r="243" spans="96:96" x14ac:dyDescent="0.25">
      <c r="CR243" s="16">
        <f t="shared" si="6"/>
        <v>0</v>
      </c>
    </row>
    <row r="244" spans="96:96" x14ac:dyDescent="0.25">
      <c r="CR244" s="16">
        <f t="shared" si="6"/>
        <v>0</v>
      </c>
    </row>
    <row r="245" spans="96:96" x14ac:dyDescent="0.25">
      <c r="CR245" s="16">
        <f t="shared" si="6"/>
        <v>0</v>
      </c>
    </row>
    <row r="246" spans="96:96" x14ac:dyDescent="0.25">
      <c r="CR246" s="16">
        <f t="shared" si="6"/>
        <v>0</v>
      </c>
    </row>
    <row r="247" spans="96:96" x14ac:dyDescent="0.25">
      <c r="CR247" s="16">
        <f t="shared" si="6"/>
        <v>0</v>
      </c>
    </row>
    <row r="248" spans="96:96" x14ac:dyDescent="0.25">
      <c r="CR248" s="16">
        <f t="shared" si="6"/>
        <v>0</v>
      </c>
    </row>
    <row r="249" spans="96:96" x14ac:dyDescent="0.25">
      <c r="CR249" s="16">
        <f t="shared" si="6"/>
        <v>0</v>
      </c>
    </row>
    <row r="250" spans="96:96" x14ac:dyDescent="0.25">
      <c r="CR250" s="16">
        <f t="shared" si="6"/>
        <v>0</v>
      </c>
    </row>
    <row r="251" spans="96:96" x14ac:dyDescent="0.25">
      <c r="CR251" s="16">
        <f t="shared" si="6"/>
        <v>0</v>
      </c>
    </row>
    <row r="252" spans="96:96" x14ac:dyDescent="0.25">
      <c r="CR252" s="16">
        <f t="shared" si="6"/>
        <v>0</v>
      </c>
    </row>
  </sheetData>
  <autoFilter ref="A8:CP61" xr:uid="{98C83BFC-6A82-4E23-8CD1-ACEC4DEF2271}"/>
  <mergeCells count="1">
    <mergeCell ref="B2:C2"/>
  </mergeCells>
  <conditionalFormatting sqref="CP9:CP61">
    <cfRule type="cellIs" dxfId="5" priority="6" operator="between">
      <formula>1%</formula>
      <formula>1.5%</formula>
    </cfRule>
  </conditionalFormatting>
  <conditionalFormatting sqref="CP9:CP61">
    <cfRule type="cellIs" dxfId="4" priority="5" operator="between">
      <formula>0.015</formula>
      <formula>0.02</formula>
    </cfRule>
  </conditionalFormatting>
  <conditionalFormatting sqref="CP9:CP61">
    <cfRule type="cellIs" dxfId="3" priority="4" operator="greaterThan">
      <formula>0.02</formula>
    </cfRule>
  </conditionalFormatting>
  <conditionalFormatting sqref="CP9:CP61">
    <cfRule type="cellIs" dxfId="2" priority="2" operator="lessThan">
      <formula>0.005</formula>
    </cfRule>
    <cfRule type="cellIs" dxfId="1" priority="3" operator="between">
      <formula>0.005</formula>
      <formula>0.01</formula>
    </cfRule>
  </conditionalFormatting>
  <conditionalFormatting sqref="CP9:CP61">
    <cfRule type="cellIs" dxfId="0" priority="1" operator="equal">
      <formula>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Ростов Павел Сергеевич</cp:lastModifiedBy>
  <dcterms:created xsi:type="dcterms:W3CDTF">2021-03-19T06:52:25Z</dcterms:created>
  <dcterms:modified xsi:type="dcterms:W3CDTF">2021-03-19T08:46:52Z</dcterms:modified>
</cp:coreProperties>
</file>